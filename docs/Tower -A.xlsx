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defaultThemeVersion="124226"/>
  <xr:revisionPtr revIDLastSave="232" documentId="11_37DC09B0030E803D57F91A838FC6C4200DBE5D40" xr6:coauthVersionLast="47" xr6:coauthVersionMax="47" xr10:uidLastSave="{E73EF76F-09DC-4630-B7BF-0198089E7868}"/>
  <bookViews>
    <workbookView minimized="1" xWindow="1770" yWindow="1770" windowWidth="21600" windowHeight="11295" activeTab="1" xr2:uid="{00000000-000D-0000-FFFF-FFFF00000000}"/>
  </bookViews>
  <sheets>
    <sheet name="For Bank" sheetId="1" r:id="rId1"/>
    <sheet name="Master File" sheetId="3" r:id="rId2"/>
    <sheet name="Sheet1" sheetId="9" r:id="rId3"/>
    <sheet name="Sheet3" sheetId="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</externalReferences>
  <definedNames>
    <definedName name="_xlnm._FilterDatabase" localSheetId="0" hidden="1">'For Bank'!$A$7:$O$139</definedName>
    <definedName name="_xlnm._FilterDatabase" localSheetId="1" hidden="1">'Master File'!$A$7:$U$220</definedName>
    <definedName name="_xlnm.Print_Area" localSheetId="1">'Master File'!$A$1:$V$221</definedName>
    <definedName name="_xlnm.Print_Titles" localSheetId="0">'For Bank'!$5:$6</definedName>
    <definedName name="_xlnm.Print_Titles" localSheetId="1">'Master File'!$A:$C,'Master File'!$5:$6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0" i="3" l="1"/>
  <c r="A203" i="3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174" i="3"/>
  <c r="U58" i="3"/>
  <c r="P58" i="3"/>
  <c r="G58" i="3"/>
  <c r="H58" i="3"/>
  <c r="U56" i="3"/>
  <c r="G56" i="3"/>
  <c r="H56" i="3"/>
  <c r="R219" i="3"/>
  <c r="G219" i="3"/>
  <c r="H219" i="3"/>
  <c r="P218" i="3" l="1"/>
  <c r="R218" i="3"/>
  <c r="U218" i="3" s="1"/>
  <c r="G218" i="3"/>
  <c r="H218" i="3"/>
  <c r="U146" i="3" l="1"/>
  <c r="P146" i="3"/>
  <c r="G146" i="3"/>
  <c r="H146" i="3"/>
  <c r="T143" i="3"/>
  <c r="P128" i="3"/>
  <c r="R128" i="3"/>
  <c r="U128" i="3" s="1"/>
  <c r="G128" i="3"/>
  <c r="H128" i="3"/>
  <c r="U143" i="3" l="1"/>
  <c r="O143" i="3"/>
  <c r="P143" i="3" s="1"/>
  <c r="R81" i="3"/>
  <c r="U73" i="3"/>
  <c r="R46" i="3"/>
  <c r="O40" i="3" l="1"/>
  <c r="P40" i="3" s="1"/>
  <c r="R40" i="3"/>
  <c r="U40" i="3" s="1"/>
  <c r="T172" i="3" l="1"/>
  <c r="T186" i="3" l="1"/>
  <c r="T192" i="3" l="1"/>
  <c r="T199" i="3" l="1"/>
  <c r="T201" i="3" l="1"/>
  <c r="T205" i="3" l="1"/>
  <c r="T209" i="3" l="1"/>
  <c r="T210" i="3" l="1"/>
  <c r="T212" i="3" l="1"/>
  <c r="T168" i="3" l="1"/>
  <c r="O168" i="3" s="1"/>
  <c r="T165" i="3" l="1"/>
  <c r="T161" i="3" l="1"/>
  <c r="T159" i="3" l="1"/>
  <c r="T155" i="3" l="1"/>
  <c r="T153" i="3" l="1"/>
  <c r="T149" i="3" l="1"/>
  <c r="T140" i="3" l="1"/>
  <c r="T138" i="3" l="1"/>
  <c r="T137" i="3" l="1"/>
  <c r="T136" i="3" l="1"/>
  <c r="O136" i="3" s="1"/>
  <c r="T123" i="3" l="1"/>
  <c r="T119" i="3" l="1"/>
  <c r="T108" i="3" l="1"/>
  <c r="T101" i="3" l="1"/>
  <c r="T99" i="3" l="1"/>
  <c r="T97" i="3" l="1"/>
  <c r="O91" i="3" l="1"/>
  <c r="T90" i="3" l="1"/>
  <c r="T82" i="3" l="1"/>
  <c r="T70" i="3" l="1"/>
  <c r="T38" i="3" l="1"/>
  <c r="T34" i="3" l="1"/>
  <c r="T27" i="3" l="1"/>
  <c r="T23" i="3" l="1"/>
  <c r="T22" i="3" l="1"/>
  <c r="T21" i="3" l="1"/>
  <c r="T18" i="3" l="1"/>
  <c r="T17" i="3" l="1"/>
  <c r="T10" i="3" l="1"/>
  <c r="T9" i="3" l="1"/>
  <c r="T8" i="3" l="1"/>
  <c r="T203" i="3" l="1"/>
  <c r="T206" i="3" l="1"/>
  <c r="T211" i="3" l="1"/>
  <c r="T213" i="3" l="1"/>
  <c r="T214" i="3" l="1"/>
  <c r="T215" i="3" l="1"/>
  <c r="T216" i="3" l="1"/>
  <c r="U216" i="3" s="1"/>
  <c r="T217" i="3" l="1"/>
  <c r="T220" i="3" l="1"/>
  <c r="O220" i="3" s="1"/>
  <c r="T202" i="3" l="1"/>
  <c r="T197" i="3" l="1"/>
  <c r="T196" i="3" l="1"/>
  <c r="T194" i="3" l="1"/>
  <c r="T193" i="3" l="1"/>
  <c r="T190" i="3" l="1"/>
  <c r="T189" i="3" l="1"/>
  <c r="T188" i="3" l="1"/>
  <c r="T185" i="3" l="1"/>
  <c r="T184" i="3" l="1"/>
  <c r="T183" i="3" l="1"/>
  <c r="T180" i="3" l="1"/>
  <c r="T178" i="3" l="1"/>
  <c r="O178" i="3" s="1"/>
  <c r="P178" i="3" s="1"/>
  <c r="R178" i="3"/>
  <c r="T175" i="3" l="1"/>
  <c r="T174" i="3" l="1"/>
  <c r="T169" i="3" l="1"/>
  <c r="T157" i="3" l="1"/>
  <c r="T151" i="3" l="1"/>
  <c r="T150" i="3" l="1"/>
  <c r="T148" i="3" l="1"/>
  <c r="T111" i="3" l="1"/>
  <c r="T104" i="3" l="1"/>
  <c r="G131" i="3" l="1"/>
  <c r="H131" i="3" s="1"/>
  <c r="T102" i="3"/>
  <c r="T95" i="3" l="1"/>
  <c r="T88" i="3" l="1"/>
  <c r="T86" i="3" l="1"/>
  <c r="T84" i="3" l="1"/>
  <c r="T81" i="3" l="1"/>
  <c r="T72" i="3" l="1"/>
  <c r="T67" i="3" l="1"/>
  <c r="T66" i="3" l="1"/>
  <c r="T63" i="3" l="1"/>
  <c r="G53" i="3" l="1"/>
  <c r="H53" i="3" s="1"/>
  <c r="T50" i="3"/>
  <c r="T49" i="3" l="1"/>
  <c r="T48" i="3" l="1"/>
  <c r="T47" i="3" l="1"/>
  <c r="T44" i="3" l="1"/>
  <c r="T36" i="3" l="1"/>
  <c r="T35" i="3" l="1"/>
  <c r="T33" i="3" l="1"/>
  <c r="T32" i="3" l="1"/>
  <c r="T31" i="3" l="1"/>
  <c r="T30" i="3" l="1"/>
  <c r="T29" i="3" l="1"/>
  <c r="T28" i="3" l="1"/>
  <c r="T25" i="3" l="1"/>
  <c r="T24" i="3" l="1"/>
  <c r="T20" i="3" l="1"/>
  <c r="T19" i="3" l="1"/>
  <c r="T16" i="3" l="1"/>
  <c r="T15" i="3" l="1"/>
  <c r="T14" i="3" l="1"/>
  <c r="T13" i="3" l="1"/>
  <c r="T12" i="3" l="1"/>
  <c r="T11" i="3" l="1"/>
  <c r="T176" i="3" l="1"/>
  <c r="O176" i="3" s="1"/>
  <c r="T166" i="3" l="1"/>
  <c r="G133" i="3" l="1"/>
  <c r="H133" i="3" s="1"/>
  <c r="O113" i="3" l="1"/>
  <c r="T64" i="3" l="1"/>
  <c r="O209" i="3" l="1"/>
  <c r="P209" i="3" s="1"/>
  <c r="G209" i="3"/>
  <c r="H209" i="3" s="1"/>
  <c r="R209" i="3"/>
  <c r="U209" i="3" l="1"/>
  <c r="O205" i="3" l="1"/>
  <c r="R165" i="3" l="1"/>
  <c r="O119" i="3" l="1"/>
  <c r="P119" i="3" s="1"/>
  <c r="R119" i="3"/>
  <c r="U119" i="3" l="1"/>
  <c r="O212" i="3" l="1"/>
  <c r="R212" i="3"/>
  <c r="S212" i="3"/>
  <c r="R166" i="3" l="1"/>
  <c r="R192" i="3" l="1"/>
  <c r="U192" i="3" s="1"/>
  <c r="O192" i="3"/>
  <c r="P192" i="3" s="1"/>
  <c r="R101" i="3" l="1"/>
  <c r="U101" i="3" l="1"/>
  <c r="O101" i="3"/>
  <c r="P101" i="3" s="1"/>
  <c r="O210" i="3"/>
  <c r="P210" i="3" l="1"/>
  <c r="R210" i="3"/>
  <c r="U210" i="3" s="1"/>
  <c r="H210" i="3"/>
  <c r="O201" i="3"/>
  <c r="P201" i="3" s="1"/>
  <c r="R201" i="3"/>
  <c r="H201" i="3"/>
  <c r="U201" i="3" l="1"/>
  <c r="O199" i="3" l="1"/>
  <c r="P199" i="3" s="1"/>
  <c r="R199" i="3"/>
  <c r="U199" i="3" s="1"/>
  <c r="H199" i="3"/>
  <c r="O196" i="3" l="1"/>
  <c r="P196" i="3" s="1"/>
  <c r="R196" i="3"/>
  <c r="U196" i="3" s="1"/>
  <c r="O183" i="3" l="1"/>
  <c r="P183" i="3" s="1"/>
  <c r="R183" i="3" l="1"/>
  <c r="U183" i="3" s="1"/>
  <c r="O180" i="3" l="1"/>
  <c r="R180" i="3"/>
  <c r="U180" i="3" s="1"/>
  <c r="H180" i="3"/>
  <c r="O157" i="3" l="1"/>
  <c r="P157" i="3" s="1"/>
  <c r="R157" i="3"/>
  <c r="U157" i="3" s="1"/>
  <c r="R153" i="3"/>
  <c r="U153" i="3" l="1"/>
  <c r="O153" i="3"/>
  <c r="P153" i="3" s="1"/>
  <c r="H153" i="3"/>
  <c r="O138" i="3" l="1"/>
  <c r="P138" i="3" s="1"/>
  <c r="R138" i="3"/>
  <c r="U138" i="3" s="1"/>
  <c r="O123" i="3" l="1"/>
  <c r="P123" i="3" s="1"/>
  <c r="R123" i="3"/>
  <c r="U123" i="3" s="1"/>
  <c r="H123" i="3"/>
  <c r="O97" i="3" l="1"/>
  <c r="P97" i="3" s="1"/>
  <c r="R97" i="3"/>
  <c r="U97" i="3" s="1"/>
  <c r="H97" i="3"/>
  <c r="O88" i="3" l="1"/>
  <c r="P88" i="3" s="1"/>
  <c r="R88" i="3"/>
  <c r="U88" i="3" s="1"/>
  <c r="H88" i="3"/>
  <c r="O72" i="3" l="1"/>
  <c r="P72" i="3" s="1"/>
  <c r="R72" i="3"/>
  <c r="U72" i="3" s="1"/>
  <c r="O44" i="3" l="1"/>
  <c r="P44" i="3" s="1"/>
  <c r="R44" i="3"/>
  <c r="U44" i="3" s="1"/>
  <c r="O33" i="3"/>
  <c r="P33" i="3" l="1"/>
  <c r="R33" i="3"/>
  <c r="U33" i="3" s="1"/>
  <c r="H33" i="3"/>
  <c r="O12" i="3"/>
  <c r="P12" i="3" s="1"/>
  <c r="R12" i="3"/>
  <c r="U12" i="3" l="1"/>
  <c r="R205" i="3"/>
  <c r="H205" i="3"/>
  <c r="U205" i="3" l="1"/>
  <c r="P205" i="3" s="1"/>
  <c r="H119" i="3"/>
  <c r="O108" i="3" l="1"/>
  <c r="P108" i="3" s="1"/>
  <c r="H108" i="3" l="1"/>
  <c r="R108" i="3"/>
  <c r="U108" i="3" s="1"/>
  <c r="P90" i="3" l="1"/>
  <c r="U90" i="3"/>
  <c r="G90" i="3"/>
  <c r="P81" i="3" l="1"/>
  <c r="U81" i="3" l="1"/>
  <c r="O27" i="3" l="1"/>
  <c r="P27" i="3" s="1"/>
  <c r="R27" i="3"/>
  <c r="U27" i="3" s="1"/>
  <c r="P99" i="3" l="1"/>
  <c r="U99" i="3" l="1"/>
  <c r="O161" i="3" l="1"/>
  <c r="P161" i="3" s="1"/>
  <c r="R161" i="3"/>
  <c r="U161" i="3" s="1"/>
  <c r="O151" i="3"/>
  <c r="P136" i="3" l="1"/>
  <c r="U136" i="3"/>
  <c r="O38" i="3" l="1"/>
  <c r="P38" i="3" s="1"/>
  <c r="R38" i="3"/>
  <c r="U38" i="3" s="1"/>
  <c r="O36" i="3"/>
  <c r="P36" i="3" s="1"/>
  <c r="R36" i="3"/>
  <c r="H36" i="3"/>
  <c r="U36" i="3" l="1"/>
  <c r="O21" i="3" l="1"/>
  <c r="P21" i="3" s="1"/>
  <c r="R21" i="3"/>
  <c r="U21" i="3" s="1"/>
  <c r="R20" i="3"/>
  <c r="R190" i="3" l="1"/>
  <c r="O190" i="3"/>
  <c r="P190" i="3" s="1"/>
  <c r="U190" i="3" l="1"/>
  <c r="H190" i="3"/>
  <c r="T204" i="3" l="1"/>
  <c r="T45" i="3" l="1"/>
  <c r="H167" i="3" l="1"/>
  <c r="O155" i="3" l="1"/>
  <c r="P155" i="3" s="1"/>
  <c r="R155" i="3" l="1"/>
  <c r="U155" i="3" s="1"/>
  <c r="R220" i="3" l="1"/>
  <c r="U220" i="3" s="1"/>
  <c r="A11" i="3"/>
  <c r="A14" i="3" s="1"/>
  <c r="A15" i="3" s="1"/>
  <c r="A16" i="3" s="1"/>
  <c r="A17" i="3" s="1"/>
  <c r="A18" i="3" s="1"/>
  <c r="A19" i="3" s="1"/>
  <c r="A20" i="3" s="1"/>
  <c r="A23" i="3" s="1"/>
  <c r="A24" i="3" s="1"/>
  <c r="A25" i="3" s="1"/>
  <c r="A29" i="3" s="1"/>
  <c r="A30" i="3" s="1"/>
  <c r="A31" i="3" s="1"/>
  <c r="A32" i="3" s="1"/>
  <c r="H220" i="3"/>
  <c r="P220" i="3" l="1"/>
  <c r="O188" i="3"/>
  <c r="P188" i="3" s="1"/>
  <c r="R188" i="3"/>
  <c r="U188" i="3" l="1"/>
  <c r="P151" i="3" l="1"/>
  <c r="R151" i="3"/>
  <c r="H151" i="3"/>
  <c r="U151" i="3" l="1"/>
  <c r="O35" i="3"/>
  <c r="P35" i="3" s="1"/>
  <c r="U35" i="3"/>
  <c r="H35" i="3" l="1"/>
  <c r="O23" i="3"/>
  <c r="P23" i="3" s="1"/>
  <c r="R23" i="3" l="1"/>
  <c r="U23" i="3" s="1"/>
  <c r="O20" i="3"/>
  <c r="P20" i="3" s="1"/>
  <c r="U20" i="3" l="1"/>
  <c r="H20" i="3"/>
  <c r="R10" i="3"/>
  <c r="U10" i="3" l="1"/>
  <c r="O10" i="3"/>
  <c r="P10" i="3" s="1"/>
  <c r="N66" i="3" l="1"/>
  <c r="O66" i="3"/>
  <c r="P66" i="3" l="1"/>
  <c r="O11" i="3" l="1"/>
  <c r="K31" i="3" l="1"/>
  <c r="L31" i="3" s="1"/>
  <c r="O8" i="3" l="1"/>
  <c r="P8" i="3" s="1"/>
  <c r="R8" i="3"/>
  <c r="U8" i="3" s="1"/>
  <c r="P11" i="3" l="1"/>
  <c r="R11" i="3"/>
  <c r="U11" i="3" s="1"/>
  <c r="P212" i="3" l="1"/>
  <c r="S204" i="3" l="1"/>
  <c r="R66" i="3" l="1"/>
  <c r="O24" i="3" l="1"/>
  <c r="P24" i="3" s="1"/>
  <c r="R24" i="3"/>
  <c r="U24" i="3" s="1"/>
  <c r="G24" i="3"/>
  <c r="H24" i="3" s="1"/>
  <c r="O22" i="3" l="1"/>
  <c r="P22" i="3" s="1"/>
  <c r="R22" i="3"/>
  <c r="G22" i="3"/>
  <c r="H22" i="3" s="1"/>
  <c r="U22" i="3" l="1"/>
  <c r="O15" i="3"/>
  <c r="P15" i="3" s="1"/>
  <c r="R15" i="3"/>
  <c r="U15" i="3" s="1"/>
  <c r="H15" i="3"/>
  <c r="R13" i="3" l="1"/>
  <c r="H13" i="3"/>
  <c r="U13" i="3" l="1"/>
  <c r="O13" i="3"/>
  <c r="P13" i="3" s="1"/>
  <c r="O9" i="3" l="1"/>
  <c r="P9" i="3" s="1"/>
  <c r="R9" i="3"/>
  <c r="U9" i="3" s="1"/>
  <c r="H9" i="3" l="1"/>
  <c r="N162" i="3" l="1"/>
  <c r="P162" i="3" s="1"/>
  <c r="R162" i="3"/>
  <c r="U162" i="3" l="1"/>
  <c r="T122" i="3" l="1"/>
  <c r="T129" i="3" l="1"/>
  <c r="N142" i="3" l="1"/>
  <c r="R142" i="3"/>
  <c r="T142" i="3"/>
  <c r="O142" i="3" s="1"/>
  <c r="P142" i="3" l="1"/>
  <c r="T170" i="3"/>
  <c r="R41" i="8" l="1"/>
  <c r="T54" i="3" l="1"/>
  <c r="T37" i="3" l="1"/>
  <c r="H32" i="8" l="1"/>
  <c r="Q12" i="8" l="1"/>
  <c r="O217" i="3" l="1"/>
  <c r="R217" i="3"/>
  <c r="N217" i="3"/>
  <c r="K217" i="3"/>
  <c r="L217" i="3" s="1"/>
  <c r="G217" i="3"/>
  <c r="H217" i="3" s="1"/>
  <c r="G216" i="3"/>
  <c r="H216" i="3" s="1"/>
  <c r="O215" i="3"/>
  <c r="P215" i="3" s="1"/>
  <c r="R215" i="3"/>
  <c r="G215" i="3"/>
  <c r="H215" i="3" s="1"/>
  <c r="O214" i="3"/>
  <c r="R214" i="3"/>
  <c r="N214" i="3"/>
  <c r="K214" i="3"/>
  <c r="L214" i="3" s="1"/>
  <c r="G214" i="3"/>
  <c r="H214" i="3" s="1"/>
  <c r="O213" i="3"/>
  <c r="R213" i="3"/>
  <c r="N213" i="3"/>
  <c r="K213" i="3"/>
  <c r="L213" i="3" s="1"/>
  <c r="G213" i="3"/>
  <c r="H213" i="3" s="1"/>
  <c r="U212" i="3"/>
  <c r="G212" i="3"/>
  <c r="H212" i="3" s="1"/>
  <c r="O211" i="3"/>
  <c r="R211" i="3"/>
  <c r="N211" i="3"/>
  <c r="K211" i="3"/>
  <c r="L211" i="3" s="1"/>
  <c r="G211" i="3"/>
  <c r="H211" i="3" s="1"/>
  <c r="T207" i="3"/>
  <c r="O207" i="3" s="1"/>
  <c r="R207" i="3"/>
  <c r="N207" i="3"/>
  <c r="K207" i="3"/>
  <c r="L207" i="3" s="1"/>
  <c r="G207" i="3"/>
  <c r="H207" i="3" s="1"/>
  <c r="O206" i="3"/>
  <c r="R206" i="3"/>
  <c r="N206" i="3"/>
  <c r="K206" i="3"/>
  <c r="L206" i="3" s="1"/>
  <c r="G206" i="3"/>
  <c r="H206" i="3" s="1"/>
  <c r="O203" i="3"/>
  <c r="R203" i="3"/>
  <c r="N203" i="3"/>
  <c r="K203" i="3"/>
  <c r="L203" i="3" s="1"/>
  <c r="G203" i="3"/>
  <c r="H203" i="3" s="1"/>
  <c r="O202" i="3"/>
  <c r="R202" i="3"/>
  <c r="N202" i="3"/>
  <c r="K202" i="3"/>
  <c r="L202" i="3" s="1"/>
  <c r="G202" i="3"/>
  <c r="H202" i="3" s="1"/>
  <c r="T200" i="3"/>
  <c r="R200" i="3"/>
  <c r="N200" i="3"/>
  <c r="P200" i="3" s="1"/>
  <c r="K200" i="3"/>
  <c r="L200" i="3" s="1"/>
  <c r="G200" i="3"/>
  <c r="H200" i="3" s="1"/>
  <c r="T198" i="3"/>
  <c r="O198" i="3" s="1"/>
  <c r="R198" i="3"/>
  <c r="N198" i="3"/>
  <c r="K198" i="3"/>
  <c r="L198" i="3" s="1"/>
  <c r="G198" i="3"/>
  <c r="H198" i="3" s="1"/>
  <c r="O197" i="3"/>
  <c r="R197" i="3"/>
  <c r="N197" i="3"/>
  <c r="K197" i="3"/>
  <c r="L197" i="3" s="1"/>
  <c r="G197" i="3"/>
  <c r="H197" i="3" s="1"/>
  <c r="R195" i="3"/>
  <c r="N195" i="3"/>
  <c r="K195" i="3"/>
  <c r="L195" i="3" s="1"/>
  <c r="G195" i="3"/>
  <c r="H195" i="3" s="1"/>
  <c r="O194" i="3"/>
  <c r="R194" i="3"/>
  <c r="N194" i="3"/>
  <c r="K194" i="3"/>
  <c r="L194" i="3" s="1"/>
  <c r="G194" i="3"/>
  <c r="H194" i="3" s="1"/>
  <c r="O193" i="3"/>
  <c r="P193" i="3" s="1"/>
  <c r="R193" i="3"/>
  <c r="T191" i="3"/>
  <c r="O191" i="3" s="1"/>
  <c r="R191" i="3"/>
  <c r="N191" i="3"/>
  <c r="K191" i="3"/>
  <c r="L191" i="3" s="1"/>
  <c r="G191" i="3"/>
  <c r="H191" i="3" s="1"/>
  <c r="O189" i="3"/>
  <c r="R189" i="3"/>
  <c r="N189" i="3"/>
  <c r="K189" i="3"/>
  <c r="L189" i="3" s="1"/>
  <c r="G189" i="3"/>
  <c r="H189" i="3" s="1"/>
  <c r="S187" i="3"/>
  <c r="U187" i="3" s="1"/>
  <c r="K187" i="3"/>
  <c r="L187" i="3" s="1"/>
  <c r="G187" i="3"/>
  <c r="H187" i="3" s="1"/>
  <c r="O186" i="3"/>
  <c r="R186" i="3"/>
  <c r="N186" i="3"/>
  <c r="K186" i="3"/>
  <c r="L186" i="3" s="1"/>
  <c r="G186" i="3"/>
  <c r="H186" i="3" s="1"/>
  <c r="O185" i="3"/>
  <c r="R185" i="3"/>
  <c r="N185" i="3"/>
  <c r="K185" i="3"/>
  <c r="L185" i="3" s="1"/>
  <c r="G185" i="3"/>
  <c r="H185" i="3" s="1"/>
  <c r="O184" i="3"/>
  <c r="R184" i="3"/>
  <c r="N184" i="3"/>
  <c r="K184" i="3"/>
  <c r="L184" i="3" s="1"/>
  <c r="G184" i="3"/>
  <c r="H184" i="3" s="1"/>
  <c r="T182" i="3"/>
  <c r="O182" i="3" s="1"/>
  <c r="R182" i="3"/>
  <c r="N182" i="3"/>
  <c r="K182" i="3"/>
  <c r="L182" i="3" s="1"/>
  <c r="G182" i="3"/>
  <c r="H182" i="3" s="1"/>
  <c r="R181" i="3"/>
  <c r="U181" i="3" s="1"/>
  <c r="N181" i="3"/>
  <c r="P181" i="3" s="1"/>
  <c r="K181" i="3"/>
  <c r="L181" i="3" s="1"/>
  <c r="G181" i="3"/>
  <c r="H181" i="3" s="1"/>
  <c r="S179" i="3"/>
  <c r="U179" i="3" s="1"/>
  <c r="K179" i="3"/>
  <c r="L179" i="3" s="1"/>
  <c r="G179" i="3"/>
  <c r="H179" i="3" s="1"/>
  <c r="S177" i="3"/>
  <c r="K177" i="3"/>
  <c r="L177" i="3" s="1"/>
  <c r="G177" i="3"/>
  <c r="H177" i="3" s="1"/>
  <c r="K176" i="3"/>
  <c r="L176" i="3" s="1"/>
  <c r="G176" i="3"/>
  <c r="H176" i="3" s="1"/>
  <c r="O175" i="3"/>
  <c r="R175" i="3"/>
  <c r="N175" i="3"/>
  <c r="K175" i="3"/>
  <c r="L175" i="3" s="1"/>
  <c r="G175" i="3"/>
  <c r="H175" i="3" s="1"/>
  <c r="O174" i="3"/>
  <c r="R174" i="3"/>
  <c r="N174" i="3"/>
  <c r="K174" i="3"/>
  <c r="L174" i="3" s="1"/>
  <c r="G174" i="3"/>
  <c r="H174" i="3" s="1"/>
  <c r="O204" i="3"/>
  <c r="L204" i="3"/>
  <c r="G204" i="3"/>
  <c r="H204" i="3" s="1"/>
  <c r="O172" i="3"/>
  <c r="R172" i="3"/>
  <c r="N172" i="3"/>
  <c r="K172" i="3"/>
  <c r="L172" i="3" s="1"/>
  <c r="G172" i="3"/>
  <c r="H172" i="3" s="1"/>
  <c r="S171" i="3"/>
  <c r="U171" i="3" s="1"/>
  <c r="K171" i="3"/>
  <c r="L171" i="3" s="1"/>
  <c r="G171" i="3"/>
  <c r="H171" i="3" s="1"/>
  <c r="S170" i="3"/>
  <c r="K170" i="3"/>
  <c r="L170" i="3" s="1"/>
  <c r="G170" i="3"/>
  <c r="H170" i="3" s="1"/>
  <c r="O169" i="3"/>
  <c r="R169" i="3"/>
  <c r="N169" i="3"/>
  <c r="K169" i="3"/>
  <c r="L169" i="3" s="1"/>
  <c r="G169" i="3"/>
  <c r="H169" i="3" s="1"/>
  <c r="R168" i="3"/>
  <c r="N168" i="3"/>
  <c r="P168" i="3" s="1"/>
  <c r="K168" i="3"/>
  <c r="L168" i="3" s="1"/>
  <c r="G168" i="3"/>
  <c r="H168" i="3" s="1"/>
  <c r="S166" i="3"/>
  <c r="K166" i="3"/>
  <c r="L166" i="3" s="1"/>
  <c r="G166" i="3"/>
  <c r="H166" i="3" s="1"/>
  <c r="O165" i="3"/>
  <c r="N165" i="3"/>
  <c r="K165" i="3"/>
  <c r="L165" i="3" s="1"/>
  <c r="G165" i="3"/>
  <c r="H165" i="3" s="1"/>
  <c r="T163" i="3"/>
  <c r="O163" i="3" s="1"/>
  <c r="R163" i="3"/>
  <c r="N163" i="3"/>
  <c r="K163" i="3"/>
  <c r="L163" i="3" s="1"/>
  <c r="G163" i="3"/>
  <c r="H163" i="3" s="1"/>
  <c r="K162" i="3"/>
  <c r="L162" i="3" s="1"/>
  <c r="G162" i="3"/>
  <c r="H162" i="3" s="1"/>
  <c r="T160" i="3"/>
  <c r="O160" i="3" s="1"/>
  <c r="R160" i="3"/>
  <c r="N160" i="3"/>
  <c r="K160" i="3"/>
  <c r="L160" i="3" s="1"/>
  <c r="G160" i="3"/>
  <c r="H160" i="3" s="1"/>
  <c r="O159" i="3"/>
  <c r="R159" i="3"/>
  <c r="N159" i="3"/>
  <c r="K159" i="3"/>
  <c r="L159" i="3" s="1"/>
  <c r="G159" i="3"/>
  <c r="H159" i="3" s="1"/>
  <c r="T158" i="3"/>
  <c r="K158" i="3"/>
  <c r="L158" i="3" s="1"/>
  <c r="G158" i="3"/>
  <c r="H158" i="3" s="1"/>
  <c r="S156" i="3"/>
  <c r="U156" i="3" s="1"/>
  <c r="O156" i="3"/>
  <c r="K156" i="3"/>
  <c r="L156" i="3" s="1"/>
  <c r="G156" i="3"/>
  <c r="H156" i="3" s="1"/>
  <c r="T154" i="3"/>
  <c r="O154" i="3" s="1"/>
  <c r="S154" i="3"/>
  <c r="K154" i="3"/>
  <c r="L154" i="3" s="1"/>
  <c r="G154" i="3"/>
  <c r="H154" i="3" s="1"/>
  <c r="S152" i="3"/>
  <c r="U152" i="3" s="1"/>
  <c r="K152" i="3"/>
  <c r="L152" i="3" s="1"/>
  <c r="G152" i="3"/>
  <c r="H152" i="3" s="1"/>
  <c r="O150" i="3"/>
  <c r="R150" i="3"/>
  <c r="N150" i="3"/>
  <c r="K150" i="3"/>
  <c r="L150" i="3" s="1"/>
  <c r="G150" i="3"/>
  <c r="H150" i="3" s="1"/>
  <c r="O149" i="3"/>
  <c r="R149" i="3"/>
  <c r="N149" i="3"/>
  <c r="K149" i="3"/>
  <c r="L149" i="3" s="1"/>
  <c r="G149" i="3"/>
  <c r="H149" i="3" s="1"/>
  <c r="O148" i="3"/>
  <c r="R148" i="3"/>
  <c r="N148" i="3"/>
  <c r="K148" i="3"/>
  <c r="L148" i="3" s="1"/>
  <c r="G148" i="3"/>
  <c r="H148" i="3" s="1"/>
  <c r="T147" i="3"/>
  <c r="O147" i="3" s="1"/>
  <c r="R147" i="3"/>
  <c r="N147" i="3"/>
  <c r="K147" i="3"/>
  <c r="L147" i="3" s="1"/>
  <c r="G147" i="3"/>
  <c r="H147" i="3" s="1"/>
  <c r="R145" i="3"/>
  <c r="U145" i="3" s="1"/>
  <c r="O145" i="3"/>
  <c r="N145" i="3"/>
  <c r="K145" i="3"/>
  <c r="L145" i="3" s="1"/>
  <c r="G145" i="3"/>
  <c r="H145" i="3" s="1"/>
  <c r="S144" i="3"/>
  <c r="P144" i="3" s="1"/>
  <c r="K144" i="3"/>
  <c r="L144" i="3" s="1"/>
  <c r="G144" i="3"/>
  <c r="H144" i="3" s="1"/>
  <c r="K142" i="3"/>
  <c r="L142" i="3" s="1"/>
  <c r="G142" i="3"/>
  <c r="H142" i="3" s="1"/>
  <c r="T141" i="3"/>
  <c r="O141" i="3" s="1"/>
  <c r="S141" i="3"/>
  <c r="K141" i="3"/>
  <c r="L141" i="3" s="1"/>
  <c r="G141" i="3"/>
  <c r="H141" i="3" s="1"/>
  <c r="O140" i="3"/>
  <c r="R140" i="3"/>
  <c r="N140" i="3"/>
  <c r="K140" i="3"/>
  <c r="L140" i="3" s="1"/>
  <c r="G140" i="3"/>
  <c r="H140" i="3" s="1"/>
  <c r="T139" i="3"/>
  <c r="S139" i="3"/>
  <c r="K139" i="3"/>
  <c r="L139" i="3" s="1"/>
  <c r="G139" i="3"/>
  <c r="H139" i="3" s="1"/>
  <c r="O137" i="3"/>
  <c r="R137" i="3"/>
  <c r="N137" i="3"/>
  <c r="K137" i="3"/>
  <c r="L137" i="3" s="1"/>
  <c r="G137" i="3"/>
  <c r="H137" i="3" s="1"/>
  <c r="S135" i="3"/>
  <c r="K135" i="3"/>
  <c r="L135" i="3" s="1"/>
  <c r="G135" i="3"/>
  <c r="H135" i="3" s="1"/>
  <c r="S134" i="3"/>
  <c r="K134" i="3"/>
  <c r="L134" i="3" s="1"/>
  <c r="G134" i="3"/>
  <c r="H134" i="3" s="1"/>
  <c r="S132" i="3"/>
  <c r="U132" i="3" s="1"/>
  <c r="K132" i="3"/>
  <c r="L132" i="3" s="1"/>
  <c r="G132" i="3"/>
  <c r="H132" i="3" s="1"/>
  <c r="T130" i="3"/>
  <c r="O130" i="3" s="1"/>
  <c r="R130" i="3"/>
  <c r="N130" i="3"/>
  <c r="K130" i="3"/>
  <c r="L130" i="3" s="1"/>
  <c r="G130" i="3"/>
  <c r="H130" i="3" s="1"/>
  <c r="R129" i="3"/>
  <c r="U129" i="3" s="1"/>
  <c r="O129" i="3"/>
  <c r="N129" i="3"/>
  <c r="K129" i="3"/>
  <c r="L129" i="3" s="1"/>
  <c r="G129" i="3"/>
  <c r="H129" i="3" s="1"/>
  <c r="S127" i="3"/>
  <c r="P127" i="3" s="1"/>
  <c r="K127" i="3"/>
  <c r="L127" i="3" s="1"/>
  <c r="G127" i="3"/>
  <c r="H127" i="3" s="1"/>
  <c r="S126" i="3"/>
  <c r="U126" i="3" s="1"/>
  <c r="O126" i="3"/>
  <c r="K126" i="3"/>
  <c r="L126" i="3" s="1"/>
  <c r="G126" i="3"/>
  <c r="H126" i="3" s="1"/>
  <c r="T125" i="3"/>
  <c r="O125" i="3" s="1"/>
  <c r="R125" i="3"/>
  <c r="N125" i="3"/>
  <c r="K125" i="3"/>
  <c r="L125" i="3" s="1"/>
  <c r="G125" i="3"/>
  <c r="H125" i="3" s="1"/>
  <c r="T124" i="3"/>
  <c r="O124" i="3" s="1"/>
  <c r="R124" i="3"/>
  <c r="N124" i="3"/>
  <c r="K124" i="3"/>
  <c r="L124" i="3" s="1"/>
  <c r="G124" i="3"/>
  <c r="H124" i="3" s="1"/>
  <c r="P122" i="3"/>
  <c r="K122" i="3"/>
  <c r="L122" i="3" s="1"/>
  <c r="G122" i="3"/>
  <c r="H122" i="3" s="1"/>
  <c r="T121" i="3"/>
  <c r="O121" i="3" s="1"/>
  <c r="R121" i="3"/>
  <c r="N121" i="3"/>
  <c r="K121" i="3"/>
  <c r="L121" i="3" s="1"/>
  <c r="G121" i="3"/>
  <c r="H121" i="3" s="1"/>
  <c r="T120" i="3"/>
  <c r="O120" i="3" s="1"/>
  <c r="R120" i="3"/>
  <c r="N120" i="3"/>
  <c r="K120" i="3"/>
  <c r="L120" i="3" s="1"/>
  <c r="G120" i="3"/>
  <c r="H120" i="3" s="1"/>
  <c r="T118" i="3"/>
  <c r="O118" i="3" s="1"/>
  <c r="R118" i="3"/>
  <c r="N118" i="3"/>
  <c r="K118" i="3"/>
  <c r="L118" i="3" s="1"/>
  <c r="G118" i="3"/>
  <c r="H118" i="3" s="1"/>
  <c r="S117" i="3"/>
  <c r="K117" i="3"/>
  <c r="L117" i="3" s="1"/>
  <c r="G117" i="3"/>
  <c r="H117" i="3" s="1"/>
  <c r="S116" i="3"/>
  <c r="O116" i="3"/>
  <c r="K116" i="3"/>
  <c r="L116" i="3" s="1"/>
  <c r="G116" i="3"/>
  <c r="H116" i="3" s="1"/>
  <c r="S115" i="3"/>
  <c r="U115" i="3" s="1"/>
  <c r="O115" i="3"/>
  <c r="K115" i="3"/>
  <c r="L115" i="3" s="1"/>
  <c r="G115" i="3"/>
  <c r="H115" i="3" s="1"/>
  <c r="S114" i="3"/>
  <c r="U114" i="3" s="1"/>
  <c r="K114" i="3"/>
  <c r="L114" i="3" s="1"/>
  <c r="G114" i="3"/>
  <c r="H114" i="3" s="1"/>
  <c r="R112" i="3"/>
  <c r="N112" i="3"/>
  <c r="K112" i="3"/>
  <c r="L112" i="3" s="1"/>
  <c r="G112" i="3"/>
  <c r="H112" i="3" s="1"/>
  <c r="O111" i="3"/>
  <c r="R111" i="3"/>
  <c r="N111" i="3"/>
  <c r="K111" i="3"/>
  <c r="L111" i="3" s="1"/>
  <c r="G111" i="3"/>
  <c r="H111" i="3" s="1"/>
  <c r="T110" i="3"/>
  <c r="S110" i="3"/>
  <c r="K110" i="3"/>
  <c r="L110" i="3" s="1"/>
  <c r="G110" i="3"/>
  <c r="H110" i="3" s="1"/>
  <c r="T109" i="3"/>
  <c r="O109" i="3" s="1"/>
  <c r="R109" i="3"/>
  <c r="N109" i="3"/>
  <c r="K109" i="3"/>
  <c r="L109" i="3" s="1"/>
  <c r="G109" i="3"/>
  <c r="H109" i="3" s="1"/>
  <c r="R107" i="3"/>
  <c r="U107" i="3" s="1"/>
  <c r="N107" i="3"/>
  <c r="P107" i="3" s="1"/>
  <c r="K107" i="3"/>
  <c r="L107" i="3" s="1"/>
  <c r="G107" i="3"/>
  <c r="H107" i="3" s="1"/>
  <c r="S105" i="3"/>
  <c r="N105" i="3" s="1"/>
  <c r="R105" i="3" s="1"/>
  <c r="U105" i="3" s="1"/>
  <c r="K105" i="3"/>
  <c r="L105" i="3" s="1"/>
  <c r="G105" i="3"/>
  <c r="H105" i="3" s="1"/>
  <c r="O104" i="3"/>
  <c r="R104" i="3"/>
  <c r="N104" i="3"/>
  <c r="K104" i="3"/>
  <c r="L104" i="3" s="1"/>
  <c r="T103" i="3"/>
  <c r="R103" i="3"/>
  <c r="N103" i="3"/>
  <c r="K103" i="3"/>
  <c r="L103" i="3" s="1"/>
  <c r="G103" i="3"/>
  <c r="H103" i="3" s="1"/>
  <c r="O102" i="3"/>
  <c r="R102" i="3"/>
  <c r="N102" i="3"/>
  <c r="K102" i="3"/>
  <c r="L102" i="3" s="1"/>
  <c r="G102" i="3"/>
  <c r="H102" i="3" s="1"/>
  <c r="T100" i="3"/>
  <c r="O100" i="3" s="1"/>
  <c r="R100" i="3"/>
  <c r="N100" i="3"/>
  <c r="K100" i="3"/>
  <c r="L100" i="3" s="1"/>
  <c r="G100" i="3"/>
  <c r="H100" i="3" s="1"/>
  <c r="S98" i="3"/>
  <c r="P98" i="3" s="1"/>
  <c r="K98" i="3"/>
  <c r="L98" i="3" s="1"/>
  <c r="G98" i="3"/>
  <c r="H98" i="3" s="1"/>
  <c r="R96" i="3"/>
  <c r="U96" i="3" s="1"/>
  <c r="O96" i="3"/>
  <c r="N96" i="3"/>
  <c r="K96" i="3"/>
  <c r="L96" i="3" s="1"/>
  <c r="G96" i="3"/>
  <c r="H96" i="3" s="1"/>
  <c r="O95" i="3"/>
  <c r="R95" i="3"/>
  <c r="N95" i="3"/>
  <c r="K95" i="3"/>
  <c r="L95" i="3" s="1"/>
  <c r="G95" i="3"/>
  <c r="H95" i="3" s="1"/>
  <c r="S92" i="3"/>
  <c r="T92" i="3" s="1"/>
  <c r="K92" i="3"/>
  <c r="L92" i="3" s="1"/>
  <c r="G92" i="3"/>
  <c r="H92" i="3" s="1"/>
  <c r="S91" i="3"/>
  <c r="P91" i="3" s="1"/>
  <c r="K91" i="3"/>
  <c r="L91" i="3" s="1"/>
  <c r="G91" i="3"/>
  <c r="H91" i="3" s="1"/>
  <c r="T89" i="3"/>
  <c r="O89" i="3" s="1"/>
  <c r="S89" i="3"/>
  <c r="K89" i="3"/>
  <c r="L89" i="3" s="1"/>
  <c r="G89" i="3"/>
  <c r="H89" i="3" s="1"/>
  <c r="S87" i="3"/>
  <c r="K87" i="3"/>
  <c r="L87" i="3" s="1"/>
  <c r="G87" i="3"/>
  <c r="H87" i="3" s="1"/>
  <c r="O86" i="3"/>
  <c r="R86" i="3"/>
  <c r="N86" i="3"/>
  <c r="K86" i="3"/>
  <c r="L86" i="3" s="1"/>
  <c r="G86" i="3"/>
  <c r="H86" i="3" s="1"/>
  <c r="U85" i="3"/>
  <c r="K85" i="3"/>
  <c r="L85" i="3" s="1"/>
  <c r="G85" i="3"/>
  <c r="H85" i="3" s="1"/>
  <c r="O84" i="3"/>
  <c r="R84" i="3"/>
  <c r="N84" i="3"/>
  <c r="K84" i="3"/>
  <c r="L84" i="3" s="1"/>
  <c r="G84" i="3"/>
  <c r="H84" i="3" s="1"/>
  <c r="O83" i="3"/>
  <c r="R83" i="3"/>
  <c r="N83" i="3"/>
  <c r="K83" i="3"/>
  <c r="L83" i="3" s="1"/>
  <c r="G83" i="3"/>
  <c r="H83" i="3" s="1"/>
  <c r="O82" i="3"/>
  <c r="R82" i="3"/>
  <c r="N82" i="3"/>
  <c r="K82" i="3"/>
  <c r="L82" i="3" s="1"/>
  <c r="G82" i="3"/>
  <c r="H82" i="3" s="1"/>
  <c r="K80" i="3"/>
  <c r="L80" i="3" s="1"/>
  <c r="G80" i="3"/>
  <c r="R77" i="3"/>
  <c r="U77" i="3" s="1"/>
  <c r="N77" i="3"/>
  <c r="P77" i="3" s="1"/>
  <c r="K77" i="3"/>
  <c r="L77" i="3" s="1"/>
  <c r="G77" i="3"/>
  <c r="H77" i="3" s="1"/>
  <c r="R74" i="3"/>
  <c r="N74" i="3"/>
  <c r="P74" i="3" s="1"/>
  <c r="K74" i="3"/>
  <c r="L74" i="3" s="1"/>
  <c r="G74" i="3"/>
  <c r="H74" i="3" s="1"/>
  <c r="S71" i="3"/>
  <c r="U71" i="3" s="1"/>
  <c r="O71" i="3"/>
  <c r="K71" i="3"/>
  <c r="L71" i="3" s="1"/>
  <c r="G71" i="3"/>
  <c r="H71" i="3" s="1"/>
  <c r="O70" i="3"/>
  <c r="R70" i="3"/>
  <c r="N70" i="3"/>
  <c r="K70" i="3"/>
  <c r="L70" i="3" s="1"/>
  <c r="G70" i="3"/>
  <c r="H70" i="3" s="1"/>
  <c r="S68" i="3"/>
  <c r="K68" i="3"/>
  <c r="L68" i="3" s="1"/>
  <c r="G68" i="3"/>
  <c r="H68" i="3" s="1"/>
  <c r="O67" i="3"/>
  <c r="R67" i="3"/>
  <c r="N67" i="3"/>
  <c r="K67" i="3"/>
  <c r="L67" i="3" s="1"/>
  <c r="G67" i="3"/>
  <c r="H67" i="3" s="1"/>
  <c r="K66" i="3"/>
  <c r="L66" i="3" s="1"/>
  <c r="G66" i="3"/>
  <c r="H66" i="3" s="1"/>
  <c r="R65" i="3"/>
  <c r="U65" i="3" s="1"/>
  <c r="O65" i="3"/>
  <c r="N65" i="3"/>
  <c r="K65" i="3"/>
  <c r="L65" i="3" s="1"/>
  <c r="G65" i="3"/>
  <c r="H65" i="3" s="1"/>
  <c r="R64" i="3"/>
  <c r="N64" i="3"/>
  <c r="K64" i="3"/>
  <c r="L64" i="3" s="1"/>
  <c r="G64" i="3"/>
  <c r="H64" i="3" s="1"/>
  <c r="O63" i="3"/>
  <c r="R63" i="3"/>
  <c r="N63" i="3"/>
  <c r="K63" i="3"/>
  <c r="L63" i="3" s="1"/>
  <c r="G63" i="3"/>
  <c r="H63" i="3" s="1"/>
  <c r="T62" i="3"/>
  <c r="O62" i="3" s="1"/>
  <c r="R62" i="3"/>
  <c r="N62" i="3"/>
  <c r="K62" i="3"/>
  <c r="L62" i="3" s="1"/>
  <c r="G62" i="3"/>
  <c r="H62" i="3" s="1"/>
  <c r="R60" i="3"/>
  <c r="K60" i="3"/>
  <c r="L60" i="3" s="1"/>
  <c r="G60" i="3"/>
  <c r="H60" i="3" s="1"/>
  <c r="T59" i="3"/>
  <c r="O59" i="3" s="1"/>
  <c r="R59" i="3"/>
  <c r="N59" i="3"/>
  <c r="K59" i="3"/>
  <c r="L59" i="3" s="1"/>
  <c r="G59" i="3"/>
  <c r="H59" i="3" s="1"/>
  <c r="S57" i="3"/>
  <c r="U57" i="3" s="1"/>
  <c r="O57" i="3"/>
  <c r="K57" i="3"/>
  <c r="L57" i="3" s="1"/>
  <c r="G57" i="3"/>
  <c r="H57" i="3" s="1"/>
  <c r="R55" i="3"/>
  <c r="N55" i="3"/>
  <c r="K55" i="3"/>
  <c r="L55" i="3" s="1"/>
  <c r="G55" i="3"/>
  <c r="H55" i="3" s="1"/>
  <c r="R54" i="3"/>
  <c r="U54" i="3" s="1"/>
  <c r="O54" i="3"/>
  <c r="N54" i="3"/>
  <c r="K54" i="3"/>
  <c r="L54" i="3" s="1"/>
  <c r="G54" i="3"/>
  <c r="H54" i="3" s="1"/>
  <c r="S52" i="3"/>
  <c r="K52" i="3"/>
  <c r="L52" i="3" s="1"/>
  <c r="G52" i="3"/>
  <c r="H52" i="3" s="1"/>
  <c r="T51" i="3"/>
  <c r="R51" i="3"/>
  <c r="N51" i="3"/>
  <c r="K51" i="3"/>
  <c r="L51" i="3" s="1"/>
  <c r="G51" i="3"/>
  <c r="H51" i="3" s="1"/>
  <c r="O50" i="3"/>
  <c r="R50" i="3"/>
  <c r="N50" i="3"/>
  <c r="K50" i="3"/>
  <c r="L50" i="3" s="1"/>
  <c r="G50" i="3"/>
  <c r="H50" i="3" s="1"/>
  <c r="O49" i="3"/>
  <c r="R49" i="3"/>
  <c r="N49" i="3"/>
  <c r="K49" i="3"/>
  <c r="L49" i="3" s="1"/>
  <c r="G49" i="3"/>
  <c r="H49" i="3" s="1"/>
  <c r="O48" i="3"/>
  <c r="R48" i="3"/>
  <c r="N48" i="3"/>
  <c r="K48" i="3"/>
  <c r="L48" i="3" s="1"/>
  <c r="H48" i="3"/>
  <c r="O47" i="3"/>
  <c r="R47" i="3"/>
  <c r="N47" i="3"/>
  <c r="K47" i="3"/>
  <c r="L47" i="3" s="1"/>
  <c r="G47" i="3"/>
  <c r="H47" i="3" s="1"/>
  <c r="O45" i="3"/>
  <c r="S45" i="3"/>
  <c r="K45" i="3"/>
  <c r="L45" i="3" s="1"/>
  <c r="G45" i="3"/>
  <c r="H45" i="3" s="1"/>
  <c r="R43" i="3"/>
  <c r="U43" i="3" s="1"/>
  <c r="O43" i="3"/>
  <c r="N43" i="3"/>
  <c r="K43" i="3"/>
  <c r="L43" i="3" s="1"/>
  <c r="G43" i="3"/>
  <c r="H43" i="3" s="1"/>
  <c r="R41" i="3"/>
  <c r="N41" i="3"/>
  <c r="K41" i="3"/>
  <c r="L41" i="3" s="1"/>
  <c r="G41" i="3"/>
  <c r="H41" i="3" s="1"/>
  <c r="T39" i="3"/>
  <c r="R39" i="3"/>
  <c r="N39" i="3"/>
  <c r="K39" i="3"/>
  <c r="L39" i="3" s="1"/>
  <c r="G39" i="3"/>
  <c r="H39" i="3" s="1"/>
  <c r="R37" i="3"/>
  <c r="U37" i="3" s="1"/>
  <c r="N37" i="3"/>
  <c r="P37" i="3" s="1"/>
  <c r="K37" i="3"/>
  <c r="L37" i="3" s="1"/>
  <c r="G37" i="3"/>
  <c r="H37" i="3" s="1"/>
  <c r="O34" i="3"/>
  <c r="P34" i="3" s="1"/>
  <c r="R34" i="3"/>
  <c r="G34" i="3"/>
  <c r="H34" i="3" s="1"/>
  <c r="O32" i="3"/>
  <c r="P32" i="3" s="1"/>
  <c r="R32" i="3"/>
  <c r="G32" i="3"/>
  <c r="H32" i="3" s="1"/>
  <c r="U31" i="3"/>
  <c r="O30" i="3"/>
  <c r="P30" i="3" s="1"/>
  <c r="R30" i="3"/>
  <c r="G30" i="3"/>
  <c r="H30" i="3" s="1"/>
  <c r="R29" i="3"/>
  <c r="P29" i="3"/>
  <c r="G29" i="3"/>
  <c r="H29" i="3" s="1"/>
  <c r="U28" i="3"/>
  <c r="P28" i="3"/>
  <c r="K28" i="3"/>
  <c r="L28" i="3" s="1"/>
  <c r="G28" i="3"/>
  <c r="H28" i="3" s="1"/>
  <c r="R26" i="3"/>
  <c r="N26" i="3"/>
  <c r="K26" i="3"/>
  <c r="L26" i="3" s="1"/>
  <c r="G26" i="3"/>
  <c r="H26" i="3" s="1"/>
  <c r="O25" i="3"/>
  <c r="R25" i="3"/>
  <c r="N25" i="3"/>
  <c r="K25" i="3"/>
  <c r="L25" i="3" s="1"/>
  <c r="G25" i="3"/>
  <c r="H25" i="3" s="1"/>
  <c r="O19" i="3"/>
  <c r="R19" i="3"/>
  <c r="N19" i="3"/>
  <c r="K19" i="3"/>
  <c r="L19" i="3" s="1"/>
  <c r="G19" i="3"/>
  <c r="H19" i="3" s="1"/>
  <c r="O18" i="3"/>
  <c r="R18" i="3"/>
  <c r="N18" i="3"/>
  <c r="K18" i="3"/>
  <c r="L18" i="3" s="1"/>
  <c r="G18" i="3"/>
  <c r="H18" i="3" s="1"/>
  <c r="O17" i="3"/>
  <c r="R17" i="3"/>
  <c r="U17" i="3" s="1"/>
  <c r="N17" i="3"/>
  <c r="K17" i="3"/>
  <c r="L17" i="3" s="1"/>
  <c r="G17" i="3"/>
  <c r="H17" i="3" s="1"/>
  <c r="O16" i="3"/>
  <c r="R16" i="3"/>
  <c r="N16" i="3"/>
  <c r="K16" i="3"/>
  <c r="L16" i="3" s="1"/>
  <c r="G16" i="3"/>
  <c r="H16" i="3" s="1"/>
  <c r="O14" i="3"/>
  <c r="R14" i="3"/>
  <c r="N14" i="3"/>
  <c r="K14" i="3"/>
  <c r="L14" i="3" s="1"/>
  <c r="G14" i="3"/>
  <c r="H14" i="3" s="1"/>
  <c r="F140" i="1"/>
  <c r="H139" i="1"/>
  <c r="G138" i="1"/>
  <c r="H138" i="1" s="1"/>
  <c r="H137" i="1"/>
  <c r="H136" i="1"/>
  <c r="H135" i="1"/>
  <c r="H134" i="1"/>
  <c r="G134" i="1"/>
  <c r="H133" i="1"/>
  <c r="H132" i="1"/>
  <c r="G131" i="1"/>
  <c r="H131" i="1" s="1"/>
  <c r="G130" i="1"/>
  <c r="H130" i="1" s="1"/>
  <c r="H129" i="1"/>
  <c r="H128" i="1"/>
  <c r="G127" i="1"/>
  <c r="H127" i="1" s="1"/>
  <c r="G126" i="1"/>
  <c r="H126" i="1" s="1"/>
  <c r="H125" i="1"/>
  <c r="H124" i="1"/>
  <c r="H123" i="1"/>
  <c r="G122" i="1"/>
  <c r="H122" i="1" s="1"/>
  <c r="H121" i="1"/>
  <c r="H120" i="1"/>
  <c r="H119" i="1"/>
  <c r="H118" i="1"/>
  <c r="H117" i="1"/>
  <c r="H116" i="1"/>
  <c r="H115" i="1"/>
  <c r="G114" i="1"/>
  <c r="H114" i="1" s="1"/>
  <c r="G113" i="1"/>
  <c r="H113" i="1" s="1"/>
  <c r="G112" i="1"/>
  <c r="H112" i="1" s="1"/>
  <c r="H111" i="1"/>
  <c r="H110" i="1"/>
  <c r="H109" i="1"/>
  <c r="H108" i="1"/>
  <c r="H107" i="1"/>
  <c r="H106" i="1"/>
  <c r="H105" i="1"/>
  <c r="H104" i="1"/>
  <c r="H103" i="1"/>
  <c r="H102" i="1"/>
  <c r="H101" i="1"/>
  <c r="G100" i="1"/>
  <c r="H100" i="1" s="1"/>
  <c r="H99" i="1"/>
  <c r="H98" i="1"/>
  <c r="H97" i="1"/>
  <c r="G97" i="1"/>
  <c r="G96" i="1"/>
  <c r="H96" i="1" s="1"/>
  <c r="H95" i="1"/>
  <c r="H94" i="1"/>
  <c r="H93" i="1"/>
  <c r="H92" i="1"/>
  <c r="H91" i="1"/>
  <c r="H90" i="1"/>
  <c r="H89" i="1"/>
  <c r="H88" i="1"/>
  <c r="H87" i="1"/>
  <c r="G86" i="1"/>
  <c r="H86" i="1" s="1"/>
  <c r="H85" i="1"/>
  <c r="H84" i="1"/>
  <c r="H83" i="1"/>
  <c r="H82" i="1"/>
  <c r="H81" i="1"/>
  <c r="H80" i="1"/>
  <c r="H79" i="1"/>
  <c r="H78" i="1"/>
  <c r="H77" i="1"/>
  <c r="G76" i="1"/>
  <c r="H76" i="1" s="1"/>
  <c r="G75" i="1"/>
  <c r="H75" i="1" s="1"/>
  <c r="H74" i="1"/>
  <c r="H73" i="1"/>
  <c r="H72" i="1"/>
  <c r="H71" i="1"/>
  <c r="H70" i="1"/>
  <c r="G70" i="1"/>
  <c r="H69" i="1"/>
  <c r="H68" i="1"/>
  <c r="H67" i="1"/>
  <c r="H66" i="1"/>
  <c r="H65" i="1"/>
  <c r="H64" i="1"/>
  <c r="H63" i="1"/>
  <c r="H62" i="1"/>
  <c r="G61" i="1"/>
  <c r="H61" i="1" s="1"/>
  <c r="H60" i="1"/>
  <c r="H59" i="1"/>
  <c r="G58" i="1"/>
  <c r="H58" i="1" s="1"/>
  <c r="H57" i="1"/>
  <c r="G57" i="1"/>
  <c r="H56" i="1"/>
  <c r="H55" i="1"/>
  <c r="G55" i="1"/>
  <c r="H54" i="1"/>
  <c r="G53" i="1"/>
  <c r="H53" i="1" s="1"/>
  <c r="H52" i="1"/>
  <c r="H51" i="1"/>
  <c r="H50" i="1"/>
  <c r="H49" i="1"/>
  <c r="H48" i="1"/>
  <c r="H47" i="1"/>
  <c r="G46" i="1"/>
  <c r="H46" i="1" s="1"/>
  <c r="H45" i="1"/>
  <c r="H44" i="1"/>
  <c r="H43" i="1"/>
  <c r="H42" i="1"/>
  <c r="H41" i="1"/>
  <c r="H40" i="1"/>
  <c r="H39" i="1"/>
  <c r="G38" i="1"/>
  <c r="H38" i="1" s="1"/>
  <c r="H37" i="1"/>
  <c r="H36" i="1"/>
  <c r="G35" i="1"/>
  <c r="H35" i="1" s="1"/>
  <c r="H34" i="1"/>
  <c r="H33" i="1"/>
  <c r="H32" i="1"/>
  <c r="H30" i="1"/>
  <c r="H29" i="1"/>
  <c r="H28" i="1"/>
  <c r="H27" i="1"/>
  <c r="H26" i="1"/>
  <c r="H25" i="1"/>
  <c r="H24" i="1"/>
  <c r="H23" i="1"/>
  <c r="G22" i="1"/>
  <c r="H22" i="1" s="1"/>
  <c r="G21" i="1"/>
  <c r="H21" i="1" s="1"/>
  <c r="H20" i="1"/>
  <c r="H19" i="1"/>
  <c r="H18" i="1"/>
  <c r="H17" i="1"/>
  <c r="H16" i="1"/>
  <c r="H15" i="1"/>
  <c r="H14" i="1"/>
  <c r="H13" i="1"/>
  <c r="H12" i="1"/>
  <c r="H11" i="1"/>
  <c r="H10" i="1"/>
  <c r="G9" i="1"/>
  <c r="H9" i="1" s="1"/>
  <c r="H8" i="1"/>
  <c r="H140" i="1" l="1"/>
  <c r="G140" i="1"/>
  <c r="U110" i="3"/>
  <c r="U176" i="3"/>
  <c r="P176" i="3"/>
  <c r="U150" i="3"/>
  <c r="U121" i="3"/>
  <c r="U62" i="3"/>
  <c r="U191" i="3"/>
  <c r="U124" i="3"/>
  <c r="U175" i="3"/>
  <c r="U100" i="3"/>
  <c r="U103" i="3"/>
  <c r="U163" i="3"/>
  <c r="U217" i="3"/>
  <c r="U184" i="3"/>
  <c r="U169" i="3"/>
  <c r="U59" i="3"/>
  <c r="U215" i="3"/>
  <c r="U214" i="3"/>
  <c r="U211" i="3"/>
  <c r="U207" i="3"/>
  <c r="U206" i="3"/>
  <c r="U203" i="3"/>
  <c r="U200" i="3"/>
  <c r="U189" i="3"/>
  <c r="U174" i="3"/>
  <c r="U194" i="3"/>
  <c r="U197" i="3"/>
  <c r="U64" i="3"/>
  <c r="U67" i="3"/>
  <c r="U102" i="3"/>
  <c r="U112" i="3"/>
  <c r="U118" i="3"/>
  <c r="U125" i="3"/>
  <c r="U202" i="3"/>
  <c r="U182" i="3"/>
  <c r="U185" i="3"/>
  <c r="U193" i="3"/>
  <c r="U195" i="3"/>
  <c r="U198" i="3"/>
  <c r="U213" i="3"/>
  <c r="U148" i="3"/>
  <c r="U147" i="3"/>
  <c r="U142" i="3"/>
  <c r="U141" i="3"/>
  <c r="U130" i="3"/>
  <c r="U122" i="3"/>
  <c r="U120" i="3"/>
  <c r="U111" i="3"/>
  <c r="U104" i="3"/>
  <c r="U95" i="3"/>
  <c r="U86" i="3"/>
  <c r="U84" i="3"/>
  <c r="U74" i="3"/>
  <c r="U68" i="3"/>
  <c r="U63" i="3"/>
  <c r="U50" i="3"/>
  <c r="U48" i="3"/>
  <c r="U49" i="3"/>
  <c r="U47" i="3"/>
  <c r="U45" i="3"/>
  <c r="U32" i="3"/>
  <c r="U30" i="3"/>
  <c r="U29" i="3"/>
  <c r="P169" i="3"/>
  <c r="U19" i="3"/>
  <c r="U16" i="3"/>
  <c r="U14" i="3"/>
  <c r="U186" i="3"/>
  <c r="U172" i="3"/>
  <c r="U168" i="3"/>
  <c r="U165" i="3"/>
  <c r="U160" i="3"/>
  <c r="U159" i="3"/>
  <c r="U149" i="3"/>
  <c r="U140" i="3"/>
  <c r="U137" i="3"/>
  <c r="U135" i="3"/>
  <c r="U83" i="3"/>
  <c r="U82" i="3"/>
  <c r="U70" i="3"/>
  <c r="U55" i="3"/>
  <c r="U51" i="3"/>
  <c r="U34" i="3"/>
  <c r="U18" i="3"/>
  <c r="U109" i="3"/>
  <c r="U25" i="3"/>
  <c r="P103" i="3"/>
  <c r="P102" i="3"/>
  <c r="P171" i="3"/>
  <c r="P86" i="3"/>
  <c r="P114" i="3"/>
  <c r="T144" i="3"/>
  <c r="U144" i="3" s="1"/>
  <c r="U158" i="3"/>
  <c r="P182" i="3"/>
  <c r="P207" i="3"/>
  <c r="P70" i="3"/>
  <c r="P50" i="3"/>
  <c r="P118" i="3"/>
  <c r="P125" i="3"/>
  <c r="P126" i="3"/>
  <c r="P150" i="3"/>
  <c r="P159" i="3"/>
  <c r="P170" i="3"/>
  <c r="P184" i="3"/>
  <c r="P189" i="3"/>
  <c r="P202" i="3"/>
  <c r="P55" i="3"/>
  <c r="P59" i="3"/>
  <c r="P111" i="3"/>
  <c r="P197" i="3"/>
  <c r="P43" i="3"/>
  <c r="P64" i="3"/>
  <c r="P71" i="3"/>
  <c r="P109" i="3"/>
  <c r="U127" i="3"/>
  <c r="P191" i="3"/>
  <c r="P206" i="3"/>
  <c r="P39" i="3"/>
  <c r="P48" i="3"/>
  <c r="P54" i="3"/>
  <c r="P65" i="3"/>
  <c r="P82" i="3"/>
  <c r="T98" i="3"/>
  <c r="P130" i="3"/>
  <c r="P148" i="3"/>
  <c r="P194" i="3"/>
  <c r="P214" i="3"/>
  <c r="P68" i="3"/>
  <c r="P115" i="3"/>
  <c r="P147" i="3"/>
  <c r="P175" i="3"/>
  <c r="P187" i="3"/>
  <c r="P217" i="3"/>
  <c r="P14" i="3"/>
  <c r="P49" i="3"/>
  <c r="P51" i="3"/>
  <c r="P57" i="3"/>
  <c r="P140" i="3"/>
  <c r="P141" i="3"/>
  <c r="P165" i="3"/>
  <c r="P195" i="3"/>
  <c r="P17" i="3"/>
  <c r="P19" i="3"/>
  <c r="P47" i="3"/>
  <c r="P63" i="3"/>
  <c r="P67" i="3"/>
  <c r="P84" i="3"/>
  <c r="P95" i="3"/>
  <c r="P100" i="3"/>
  <c r="P110" i="3"/>
  <c r="P116" i="3"/>
  <c r="P145" i="3"/>
  <c r="P152" i="3"/>
  <c r="P160" i="3"/>
  <c r="P172" i="3"/>
  <c r="P203" i="3"/>
  <c r="P211" i="3"/>
  <c r="P156" i="3"/>
  <c r="P52" i="3"/>
  <c r="P62" i="3"/>
  <c r="P120" i="3"/>
  <c r="P137" i="3"/>
  <c r="P149" i="3"/>
  <c r="P163" i="3"/>
  <c r="P185" i="3"/>
  <c r="P213" i="3"/>
  <c r="P85" i="3"/>
  <c r="P92" i="3"/>
  <c r="U89" i="3"/>
  <c r="P89" i="3"/>
  <c r="U91" i="3"/>
  <c r="P45" i="3"/>
  <c r="P87" i="3"/>
  <c r="U116" i="3"/>
  <c r="U92" i="3"/>
  <c r="P204" i="3"/>
  <c r="P16" i="3"/>
  <c r="P18" i="3"/>
  <c r="P25" i="3"/>
  <c r="P80" i="3"/>
  <c r="P104" i="3"/>
  <c r="U134" i="3"/>
  <c r="P134" i="3"/>
  <c r="P121" i="3"/>
  <c r="P124" i="3"/>
  <c r="P179" i="3"/>
  <c r="P198" i="3"/>
  <c r="P129" i="3"/>
  <c r="P174" i="3"/>
  <c r="U177" i="3"/>
  <c r="P186" i="3"/>
  <c r="T87" i="3" l="1"/>
  <c r="U8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Flat No. A - 503
</t>
        </r>
      </text>
    </comment>
    <comment ref="B5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Flat No. A - 503
</t>
        </r>
      </text>
    </comment>
    <comment ref="B6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Flat No. A - 704
</t>
        </r>
      </text>
    </comment>
    <comment ref="B7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MOU in the Flat no. 610
</t>
        </r>
      </text>
    </comment>
    <comment ref="H7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Transfer income from Ashok Kulshreshtha at the time of Regisry
</t>
        </r>
      </text>
    </comment>
    <comment ref="C9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Cancelled</t>
        </r>
      </text>
    </comment>
    <comment ref="H11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18875/-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Flat No. A - 503
</t>
        </r>
      </text>
    </comment>
    <comment ref="B9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Flat No. A - 503
</t>
        </r>
      </text>
    </comment>
    <comment ref="B10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Flat No. A - 704
</t>
        </r>
      </text>
    </comment>
    <comment ref="B11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MOU in the Flat no. 610
</t>
        </r>
      </text>
    </comment>
    <comment ref="C15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Cancelled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9" authorId="0" shapeId="0" xr:uid="{23AF7DE0-DF2B-4EFF-9801-F924D1451D75}">
      <text>
        <r>
          <rPr>
            <b/>
            <sz val="9"/>
            <color indexed="81"/>
            <rFont val="Tahoma"/>
            <family val="2"/>
          </rPr>
          <t xml:space="preserve">Flat No. A - 503
</t>
        </r>
      </text>
    </comment>
    <comment ref="B20" authorId="0" shapeId="0" xr:uid="{CF32B9C5-1F10-42F9-814E-A12E81F13E55}">
      <text>
        <r>
          <rPr>
            <b/>
            <sz val="9"/>
            <color indexed="81"/>
            <rFont val="Tahoma"/>
            <family val="2"/>
          </rPr>
          <t xml:space="preserve">Flat No. A - 503
</t>
        </r>
      </text>
    </comment>
    <comment ref="B23" authorId="0" shapeId="0" xr:uid="{DDAB8C19-BEEB-4D50-A1A9-1CA3BA351E38}">
      <text>
        <r>
          <rPr>
            <b/>
            <sz val="9"/>
            <color indexed="81"/>
            <rFont val="Tahoma"/>
            <family val="2"/>
          </rPr>
          <t xml:space="preserve">Flat No. A - 704
</t>
        </r>
      </text>
    </comment>
    <comment ref="B27" authorId="0" shapeId="0" xr:uid="{6DD38F8E-EC9F-4708-AC5B-6F29E0729899}">
      <text>
        <r>
          <rPr>
            <b/>
            <sz val="9"/>
            <color indexed="81"/>
            <rFont val="Tahoma"/>
            <family val="2"/>
          </rPr>
          <t xml:space="preserve">MOU in the Flat no. 610
</t>
        </r>
      </text>
    </comment>
    <comment ref="C38" authorId="0" shapeId="0" xr:uid="{DC1BE483-E7DC-492F-989D-71FCA609F8CB}">
      <text>
        <r>
          <rPr>
            <b/>
            <sz val="9"/>
            <color indexed="81"/>
            <rFont val="Tahoma"/>
            <family val="2"/>
          </rPr>
          <t>Cancelled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Flat No. A - 503
</t>
        </r>
      </text>
    </comment>
    <comment ref="B2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Flat No. A - 704
</t>
        </r>
      </text>
    </comment>
    <comment ref="B2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MOU in the Flat no. 610
</t>
        </r>
      </text>
    </comment>
  </commentList>
</comments>
</file>

<file path=xl/sharedStrings.xml><?xml version="1.0" encoding="utf-8"?>
<sst xmlns="http://schemas.openxmlformats.org/spreadsheetml/2006/main" count="2426" uniqueCount="980">
  <si>
    <t>Particulars</t>
  </si>
  <si>
    <t xml:space="preserve">Amount </t>
  </si>
  <si>
    <t>Bank Detail</t>
  </si>
  <si>
    <t>S.No.</t>
  </si>
  <si>
    <t>Flat No.</t>
  </si>
  <si>
    <t>Cutomer Name</t>
  </si>
  <si>
    <t>Installment
Amount</t>
  </si>
  <si>
    <t>TDS</t>
  </si>
  <si>
    <t>Net 
Amount</t>
  </si>
  <si>
    <t>Bank Name</t>
  </si>
  <si>
    <t>Branch</t>
  </si>
  <si>
    <t>IFSC Code</t>
  </si>
  <si>
    <t>Account No.</t>
  </si>
  <si>
    <t>PAN</t>
  </si>
  <si>
    <t>A - 007</t>
  </si>
  <si>
    <t xml:space="preserve">AGRA </t>
  </si>
  <si>
    <t>UBIN0554006</t>
  </si>
  <si>
    <t>540002010103258</t>
  </si>
  <si>
    <t>10th</t>
  </si>
  <si>
    <t>ACNPK8943R</t>
  </si>
  <si>
    <t>A - 009</t>
  </si>
  <si>
    <t>SBI</t>
  </si>
  <si>
    <t>R K PURAM</t>
  </si>
  <si>
    <t>SBIN0001076</t>
  </si>
  <si>
    <t>10932825848</t>
  </si>
  <si>
    <t>AHJPM9026E
AHKPM6281E</t>
  </si>
  <si>
    <t>A - 010</t>
  </si>
  <si>
    <t>CHATTARPUR</t>
  </si>
  <si>
    <t>BKID0006073</t>
  </si>
  <si>
    <t>607310110002124</t>
  </si>
  <si>
    <t>25th</t>
  </si>
  <si>
    <t>ANVPG7299M</t>
  </si>
  <si>
    <t>A - 011</t>
  </si>
  <si>
    <t>MEHRAULI</t>
  </si>
  <si>
    <t>SBIN0001538</t>
  </si>
  <si>
    <t>10628670468</t>
  </si>
  <si>
    <t>ABTPJ6133F</t>
  </si>
  <si>
    <t>A - 012</t>
  </si>
  <si>
    <t>Priyanka Singh</t>
  </si>
  <si>
    <t>CHANDAUSI MORADABAD</t>
  </si>
  <si>
    <t>PUNB0009400</t>
  </si>
  <si>
    <t>0094000100280143</t>
  </si>
  <si>
    <t>BFHPS0577K</t>
  </si>
  <si>
    <t>A - 104</t>
  </si>
  <si>
    <t>PITAMPURA</t>
  </si>
  <si>
    <t>SBIN0004127</t>
  </si>
  <si>
    <t>10652895290</t>
  </si>
  <si>
    <t>BNLPS4853E</t>
  </si>
  <si>
    <t>A - 105</t>
  </si>
  <si>
    <t>PUNB0098300</t>
  </si>
  <si>
    <t>0983000100182033</t>
  </si>
  <si>
    <t>ACBPG4968Q</t>
  </si>
  <si>
    <t>A - 201</t>
  </si>
  <si>
    <t>RANA PRATAP BAGH</t>
  </si>
  <si>
    <t>KKBK0004632</t>
  </si>
  <si>
    <t>4711671610</t>
  </si>
  <si>
    <t>AIRPB8562H</t>
  </si>
  <si>
    <t>A - 203</t>
  </si>
  <si>
    <t>HDFC0000328</t>
  </si>
  <si>
    <t>03281570006971</t>
  </si>
  <si>
    <t>ACMPB1333K</t>
  </si>
  <si>
    <t>A - 204</t>
  </si>
  <si>
    <t>MATHURA</t>
  </si>
  <si>
    <t>HDFC0000268</t>
  </si>
  <si>
    <t>02681380000013</t>
  </si>
  <si>
    <t>AGSPS4756K</t>
  </si>
  <si>
    <t>A - 205</t>
  </si>
  <si>
    <t>SHAMSHABAD AGRA</t>
  </si>
  <si>
    <t>BARB0SHAMSH</t>
  </si>
  <si>
    <t>40790100002749</t>
  </si>
  <si>
    <t>BFGPM0473K</t>
  </si>
  <si>
    <t>A - 206</t>
  </si>
  <si>
    <t xml:space="preserve">LALIT PUR </t>
  </si>
  <si>
    <t>APXPD5160L</t>
  </si>
  <si>
    <t>A - 207</t>
  </si>
  <si>
    <t>IDBI</t>
  </si>
  <si>
    <t>SANJAY PLACE</t>
  </si>
  <si>
    <t>IBKL0000080</t>
  </si>
  <si>
    <t>0080104000262569</t>
  </si>
  <si>
    <t>AFEPG3848R</t>
  </si>
  <si>
    <t>A - 208</t>
  </si>
  <si>
    <t xml:space="preserve">SHAMLI  </t>
  </si>
  <si>
    <t>ICIC0003209</t>
  </si>
  <si>
    <t>320901500501</t>
  </si>
  <si>
    <t>AUJPS9834R</t>
  </si>
  <si>
    <t>A - 209</t>
  </si>
  <si>
    <t xml:space="preserve">SATYAM COLONY SHAMLI </t>
  </si>
  <si>
    <t>BIPPS9566M</t>
  </si>
  <si>
    <t>A - 210</t>
  </si>
  <si>
    <t>88172200002296</t>
  </si>
  <si>
    <t>AAATL2559H</t>
  </si>
  <si>
    <t>A - 211</t>
  </si>
  <si>
    <t>IEML,GAUTAM BUDDHA NAGAR</t>
  </si>
  <si>
    <t>PUNB0122810</t>
  </si>
  <si>
    <t>12282011000100</t>
  </si>
  <si>
    <t>ADGPA0993D</t>
  </si>
  <si>
    <t>A - 212</t>
  </si>
  <si>
    <t>VIKAS NAGAR ,AGRA</t>
  </si>
  <si>
    <t>SBIN0015368</t>
  </si>
  <si>
    <t>37152931125</t>
  </si>
  <si>
    <t>IUGPS6101A</t>
  </si>
  <si>
    <t>A - 213</t>
  </si>
  <si>
    <t>PASCIM VIHAR</t>
  </si>
  <si>
    <t>IBKL0000193</t>
  </si>
  <si>
    <t>193104000007276</t>
  </si>
  <si>
    <t>AIWPG7139E</t>
  </si>
  <si>
    <t>A - 214</t>
  </si>
  <si>
    <t>A - 302</t>
  </si>
  <si>
    <t>SHIVALIK DELHI</t>
  </si>
  <si>
    <t>FDRL0001677</t>
  </si>
  <si>
    <t>16770100014919</t>
  </si>
  <si>
    <t>AITPB2289O</t>
  </si>
  <si>
    <t>A - 304</t>
  </si>
  <si>
    <t>MG ROAD RAJA KI MANDI AGRA</t>
  </si>
  <si>
    <t>SBIN0001892</t>
  </si>
  <si>
    <t>AHMPG1650R</t>
  </si>
  <si>
    <t>A - 305</t>
  </si>
  <si>
    <t xml:space="preserve">ALIGARH </t>
  </si>
  <si>
    <t>UTIB0000310</t>
  </si>
  <si>
    <t>310010100004398</t>
  </si>
  <si>
    <t>BKEPD9970P</t>
  </si>
  <si>
    <t>A - 307</t>
  </si>
  <si>
    <t xml:space="preserve">GHAZIABAD </t>
  </si>
  <si>
    <t>BARB0GHAZIA</t>
  </si>
  <si>
    <t>00800100013954</t>
  </si>
  <si>
    <t>AHBPR8071L</t>
  </si>
  <si>
    <t>A - 308</t>
  </si>
  <si>
    <t>AGRA</t>
  </si>
  <si>
    <t>PUNB0051400</t>
  </si>
  <si>
    <t>0514000100212181</t>
  </si>
  <si>
    <t>DQQPS5279N</t>
  </si>
  <si>
    <t>A - 309</t>
  </si>
  <si>
    <t xml:space="preserve">KANPUR </t>
  </si>
  <si>
    <t>UBIN0530263</t>
  </si>
  <si>
    <t>302802011001470</t>
  </si>
  <si>
    <t>ABUPS3316A</t>
  </si>
  <si>
    <t>A - 310</t>
  </si>
  <si>
    <t>BARB0KHAGRA</t>
  </si>
  <si>
    <t>39300100006559</t>
  </si>
  <si>
    <t>AJLPG7398B</t>
  </si>
  <si>
    <t>A - 311</t>
  </si>
  <si>
    <t>GREATER NOIDA</t>
  </si>
  <si>
    <t>ICIC0000254</t>
  </si>
  <si>
    <t>025401005983</t>
  </si>
  <si>
    <t>AIDPG7802P</t>
  </si>
  <si>
    <t>A - 312</t>
  </si>
  <si>
    <t>SBIN0000604</t>
  </si>
  <si>
    <t>10660887733</t>
  </si>
  <si>
    <t>AEEPJ2108M</t>
  </si>
  <si>
    <t>A - 314</t>
  </si>
  <si>
    <t xml:space="preserve">BLOCK C VASANTKUNJ </t>
  </si>
  <si>
    <t>KKBK0000216</t>
  </si>
  <si>
    <t>0211207458</t>
  </si>
  <si>
    <t>ABTPA9155G</t>
  </si>
  <si>
    <t>A - 402</t>
  </si>
  <si>
    <t>JANAKPURI</t>
  </si>
  <si>
    <t>ICIC0000378</t>
  </si>
  <si>
    <t>037801516826</t>
  </si>
  <si>
    <t>AFTPC1701N</t>
  </si>
  <si>
    <t>A - 403</t>
  </si>
  <si>
    <t xml:space="preserve">SANJAY PLACE AGRA </t>
  </si>
  <si>
    <t>ICIC0006287</t>
  </si>
  <si>
    <t>628701020108</t>
  </si>
  <si>
    <t>ABNPG8109N</t>
  </si>
  <si>
    <t>A - 404</t>
  </si>
  <si>
    <t>ALIGARH</t>
  </si>
  <si>
    <t>BKID0ARYAGB</t>
  </si>
  <si>
    <t>120510100003455</t>
  </si>
  <si>
    <t>AKHPR5223P</t>
  </si>
  <si>
    <t>A - 405</t>
  </si>
  <si>
    <t xml:space="preserve">RAJA GARDEN </t>
  </si>
  <si>
    <t>AXEPG9248B</t>
  </si>
  <si>
    <t>A - 406</t>
  </si>
  <si>
    <t>NARAINA , NEW DELHI</t>
  </si>
  <si>
    <t>UBIN0540676</t>
  </si>
  <si>
    <t>406702010010386</t>
  </si>
  <si>
    <t>AHIPA2234P</t>
  </si>
  <si>
    <t>A - 407</t>
  </si>
  <si>
    <t xml:space="preserve">VIBHAV NAGAR AGRA </t>
  </si>
  <si>
    <t>CNRB0001629</t>
  </si>
  <si>
    <t>1629101000606</t>
  </si>
  <si>
    <t>ABCPJ6810C</t>
  </si>
  <si>
    <t>A - 408</t>
  </si>
  <si>
    <t xml:space="preserve">MEERUT </t>
  </si>
  <si>
    <t>ICIC0006965</t>
  </si>
  <si>
    <t>696501700139</t>
  </si>
  <si>
    <t>BPXPK2915K</t>
  </si>
  <si>
    <t>A - 409</t>
  </si>
  <si>
    <t>520101253603817</t>
  </si>
  <si>
    <t>AFPPS5590F
BUOPS5167D</t>
  </si>
  <si>
    <t>A - 410</t>
  </si>
  <si>
    <t>SEC-79 FRIDABAD</t>
  </si>
  <si>
    <t>UTIB0003958</t>
  </si>
  <si>
    <t>918010087348090</t>
  </si>
  <si>
    <t>AMLPA3677L</t>
  </si>
  <si>
    <t>A - 411</t>
  </si>
  <si>
    <t>UTIB0000086</t>
  </si>
  <si>
    <t>086010100282369</t>
  </si>
  <si>
    <t>AHHPJ1803C</t>
  </si>
  <si>
    <t>A - 412</t>
  </si>
  <si>
    <t>C - BLOCK JANAKPURI</t>
  </si>
  <si>
    <t>037801517419</t>
  </si>
  <si>
    <t>FVPPS5743M</t>
  </si>
  <si>
    <t>A - 413</t>
  </si>
  <si>
    <t>PASCHIM PURI ROAD AGRA</t>
  </si>
  <si>
    <t>PUNB0495500</t>
  </si>
  <si>
    <t>4955000100030984</t>
  </si>
  <si>
    <t>ACCPG5516F</t>
  </si>
  <si>
    <t>A - 414</t>
  </si>
  <si>
    <t>1629101000603</t>
  </si>
  <si>
    <t>ADHPJ9694F</t>
  </si>
  <si>
    <t>A - 501</t>
  </si>
  <si>
    <t>AGRA MATHURA ROAD</t>
  </si>
  <si>
    <t>ALWPS5362A</t>
  </si>
  <si>
    <t>A - 502</t>
  </si>
  <si>
    <t>FIROZABAD SADAR BAZAR</t>
  </si>
  <si>
    <t>CNRB0002167</t>
  </si>
  <si>
    <t>2167101009346</t>
  </si>
  <si>
    <t>ABDPA7746F</t>
  </si>
  <si>
    <t>A - 503</t>
  </si>
  <si>
    <t>AHJPM9026E</t>
  </si>
  <si>
    <t>A - 504</t>
  </si>
  <si>
    <t>PASCHIM VIHAR</t>
  </si>
  <si>
    <t>BARB0PASVIH</t>
  </si>
  <si>
    <t>31960100007841</t>
  </si>
  <si>
    <t>AGWPK0436G</t>
  </si>
  <si>
    <t>A - 505</t>
  </si>
  <si>
    <t>Archana Kulshreshtha</t>
  </si>
  <si>
    <t>SIKANDRA AGRA</t>
  </si>
  <si>
    <t>08992191023017</t>
  </si>
  <si>
    <t>AEOPK1948P</t>
  </si>
  <si>
    <t>A - 507</t>
  </si>
  <si>
    <t>TILAK NAGAR</t>
  </si>
  <si>
    <t xml:space="preserve">BARB0TILDEL </t>
  </si>
  <si>
    <t>32200100000680</t>
  </si>
  <si>
    <t>ANVPS7201F</t>
  </si>
  <si>
    <t>A - 508</t>
  </si>
  <si>
    <t>LOHA MANDI AGRA</t>
  </si>
  <si>
    <t>CNRB0002946</t>
  </si>
  <si>
    <t>0378101083927</t>
  </si>
  <si>
    <t>ANSPM7872R
ANSPM7880R</t>
  </si>
  <si>
    <t>A - 509</t>
  </si>
  <si>
    <t>A - 510</t>
  </si>
  <si>
    <t>ICIC0001567</t>
  </si>
  <si>
    <t>156701500332</t>
  </si>
  <si>
    <t>AOBPP3506M
AOQPP2480M</t>
  </si>
  <si>
    <t>A - 511</t>
  </si>
  <si>
    <t xml:space="preserve">BODLA AGRA </t>
  </si>
  <si>
    <t>CNRB0001441</t>
  </si>
  <si>
    <t>1441136000004</t>
  </si>
  <si>
    <t>AFKPG4567M</t>
  </si>
  <si>
    <t>A - 512</t>
  </si>
  <si>
    <t>IBD AGRA</t>
  </si>
  <si>
    <t>PSIB0000708</t>
  </si>
  <si>
    <t>07081000021769</t>
  </si>
  <si>
    <t>FVLPS1498M</t>
  </si>
  <si>
    <t>A - 513</t>
  </si>
  <si>
    <t>G T ROAD ALIGARH</t>
  </si>
  <si>
    <t>PUNB0404600</t>
  </si>
  <si>
    <t>4046000100000601</t>
  </si>
  <si>
    <t>AHFPG3468E</t>
  </si>
  <si>
    <t>A - 514</t>
  </si>
  <si>
    <t>MAHENDRA NAGAR ALIGARH</t>
  </si>
  <si>
    <t>PUNB0296100</t>
  </si>
  <si>
    <t>2961000100008083</t>
  </si>
  <si>
    <t>BKTPD1805J</t>
  </si>
  <si>
    <t>A - 601</t>
  </si>
  <si>
    <t>Rajesh Sharma</t>
  </si>
  <si>
    <t>KOTA</t>
  </si>
  <si>
    <t>SBIN0001534</t>
  </si>
  <si>
    <t>10927280559</t>
  </si>
  <si>
    <t>BBFPS5710J</t>
  </si>
  <si>
    <t>Kamlesh Sharma</t>
  </si>
  <si>
    <t>ICIC0001539</t>
  </si>
  <si>
    <t>153901503569</t>
  </si>
  <si>
    <t>CUGPS4153N</t>
  </si>
  <si>
    <t>A - 602</t>
  </si>
  <si>
    <t>FATHEBAD ROAD AGRA</t>
  </si>
  <si>
    <t>156701500082</t>
  </si>
  <si>
    <t>AEFPK0179R</t>
  </si>
  <si>
    <t>A - 603</t>
  </si>
  <si>
    <t>VASANT VIHAR</t>
  </si>
  <si>
    <t>KKBK0000182</t>
  </si>
  <si>
    <t>5811122361</t>
  </si>
  <si>
    <t>AALPK1862B</t>
  </si>
  <si>
    <t>A - 604</t>
  </si>
  <si>
    <t>MUMBAI</t>
  </si>
  <si>
    <t>HDFC0000194</t>
  </si>
  <si>
    <t>01941330002247</t>
  </si>
  <si>
    <t>AAEPK6459P</t>
  </si>
  <si>
    <t>A - 605</t>
  </si>
  <si>
    <t xml:space="preserve">SIKANDRA AGRA </t>
  </si>
  <si>
    <t>PUNB0089910</t>
  </si>
  <si>
    <t>08992031001243</t>
  </si>
  <si>
    <t>AGWPK1708K</t>
  </si>
  <si>
    <t>A - 606</t>
  </si>
  <si>
    <t>06672011007824</t>
  </si>
  <si>
    <t>AMTPV0352P</t>
  </si>
  <si>
    <t>A - 607</t>
  </si>
  <si>
    <t>ICIC0001568</t>
  </si>
  <si>
    <t>156801500391</t>
  </si>
  <si>
    <t>BGNPB3706Q</t>
  </si>
  <si>
    <t>A - 608</t>
  </si>
  <si>
    <t>2167101018744</t>
  </si>
  <si>
    <t>AKFPJ9998P</t>
  </si>
  <si>
    <t>A - 609</t>
  </si>
  <si>
    <t>HDFC0000121</t>
  </si>
  <si>
    <t>01211000273675</t>
  </si>
  <si>
    <t>AIJPB6081B</t>
  </si>
  <si>
    <t>A - 610</t>
  </si>
  <si>
    <t>VIKAS MINAR NEW DELHI</t>
  </si>
  <si>
    <t>CBIN0281467</t>
  </si>
  <si>
    <t>AGCPK4450A</t>
  </si>
  <si>
    <t>A - 611</t>
  </si>
  <si>
    <t>A - 612</t>
  </si>
  <si>
    <t>GHAZIBAD</t>
  </si>
  <si>
    <t>IOBA0001852</t>
  </si>
  <si>
    <t>185201000002130</t>
  </si>
  <si>
    <t>AAYPS1539C</t>
  </si>
  <si>
    <t>A - 613</t>
  </si>
  <si>
    <t>4955000100039329</t>
  </si>
  <si>
    <t>BEBFM3958P</t>
  </si>
  <si>
    <t>A - 614</t>
  </si>
  <si>
    <t xml:space="preserve">/RAJA KI MANDI AGRA </t>
  </si>
  <si>
    <t>AGIPR2277E</t>
  </si>
  <si>
    <t>A - 701</t>
  </si>
  <si>
    <t xml:space="preserve">CHITTORGARH BHILWARA ROAD </t>
  </si>
  <si>
    <t>SBIN0032479</t>
  </si>
  <si>
    <t>51042472748</t>
  </si>
  <si>
    <t>AESPS9030A
AFRPS1741N</t>
  </si>
  <si>
    <t>A - 702</t>
  </si>
  <si>
    <t>SBIN0030159</t>
  </si>
  <si>
    <t>CEDPG6325M</t>
  </si>
  <si>
    <t>A - 703</t>
  </si>
  <si>
    <t xml:space="preserve">TIKRI KALAN BRANCH </t>
  </si>
  <si>
    <t>520291020167895</t>
  </si>
  <si>
    <t>ANKPD2864M</t>
  </si>
  <si>
    <t>A - 704</t>
  </si>
  <si>
    <t>KAMLA NAGAR AGRA</t>
  </si>
  <si>
    <t>1469101009978</t>
  </si>
  <si>
    <t>ANSPM7880R</t>
  </si>
  <si>
    <t>A - 705</t>
  </si>
  <si>
    <t>EWXPS5168G</t>
  </si>
  <si>
    <t>A - 706</t>
  </si>
  <si>
    <t xml:space="preserve">NCERT CAMPUS 
AUROBINDO MARG </t>
  </si>
  <si>
    <t>SBIN0001690</t>
  </si>
  <si>
    <t>AMHPJ5525C</t>
  </si>
  <si>
    <t>A - 707</t>
  </si>
  <si>
    <t xml:space="preserve">FATEHABAD ROAD AGRA </t>
  </si>
  <si>
    <t>156701000213</t>
  </si>
  <si>
    <t>CIPPF6990K</t>
  </si>
  <si>
    <t>A - 708</t>
  </si>
  <si>
    <t xml:space="preserve">GURGAON </t>
  </si>
  <si>
    <t>BKID0006737</t>
  </si>
  <si>
    <t>673710310000284</t>
  </si>
  <si>
    <t>AKFPG7387M</t>
  </si>
  <si>
    <t>A - 709</t>
  </si>
  <si>
    <t>JAIPUR RAJASTHAN</t>
  </si>
  <si>
    <t>KKBK0003544</t>
  </si>
  <si>
    <t>1312555721</t>
  </si>
  <si>
    <t>BZEPB7690B</t>
  </si>
  <si>
    <t>1312555493</t>
  </si>
  <si>
    <t>BZEBP7664R</t>
  </si>
  <si>
    <t>A - 710</t>
  </si>
  <si>
    <t>AWAS VIKAS AGRA</t>
  </si>
  <si>
    <t>2946101050158</t>
  </si>
  <si>
    <t>BNXPG8577P
BNXPG8857J</t>
  </si>
  <si>
    <t>A - 711</t>
  </si>
  <si>
    <t>Sector - 11 Dwarka</t>
  </si>
  <si>
    <t>HDFC0001338</t>
  </si>
  <si>
    <t>00931000020836</t>
  </si>
  <si>
    <t>AAQPG1399G
AESPG1688N</t>
  </si>
  <si>
    <t>A - 712</t>
  </si>
  <si>
    <t>BKID0007255</t>
  </si>
  <si>
    <t>725510110001268</t>
  </si>
  <si>
    <t>AGGPG2322K
BTXPG4333E</t>
  </si>
  <si>
    <t>A - 714</t>
  </si>
  <si>
    <t>CIVIL LINES ALLHABAD UP</t>
  </si>
  <si>
    <t>ICIC0006282</t>
  </si>
  <si>
    <t>628201528497</t>
  </si>
  <si>
    <t>AYZPS5144G</t>
  </si>
  <si>
    <t>A - 801</t>
  </si>
  <si>
    <t xml:space="preserve">KAROL BAGH </t>
  </si>
  <si>
    <t>HDFC0000439</t>
  </si>
  <si>
    <t>50100046289562</t>
  </si>
  <si>
    <t>AFRPB3565M</t>
  </si>
  <si>
    <t>A - 802</t>
  </si>
  <si>
    <t xml:space="preserve"> FIROZABAD</t>
  </si>
  <si>
    <t>AINPD3891R</t>
  </si>
  <si>
    <t>A - 803</t>
  </si>
  <si>
    <t>BARB0AGRAXX</t>
  </si>
  <si>
    <t>00780100002207</t>
  </si>
  <si>
    <t>ANIPG5516A</t>
  </si>
  <si>
    <t>A - 804</t>
  </si>
  <si>
    <t>A/4 SURAJ COMPLEX</t>
  </si>
  <si>
    <t>070710011009644</t>
  </si>
  <si>
    <t>AFNPB3438D</t>
  </si>
  <si>
    <t>A - 805</t>
  </si>
  <si>
    <t>YESB0000050</t>
  </si>
  <si>
    <t>005090700001074</t>
  </si>
  <si>
    <t>AAYPC3954Q</t>
  </si>
  <si>
    <t>A - 806</t>
  </si>
  <si>
    <t>KASIMPUR</t>
  </si>
  <si>
    <t>PUNB0278900</t>
  </si>
  <si>
    <t>2789000104857852</t>
  </si>
  <si>
    <t>AXOPK3182C</t>
  </si>
  <si>
    <t>A - 807</t>
  </si>
  <si>
    <t>PNB</t>
  </si>
  <si>
    <t>THATIPUR, GWALIOR</t>
  </si>
  <si>
    <t>PUNB0655000</t>
  </si>
  <si>
    <t>6550000100060401</t>
  </si>
  <si>
    <t xml:space="preserve">ALNPJ2911R
</t>
  </si>
  <si>
    <t>ICICI</t>
  </si>
  <si>
    <t>GWALIOR</t>
  </si>
  <si>
    <t>ICIC0000197</t>
  </si>
  <si>
    <t>007101042018</t>
  </si>
  <si>
    <t>AEXPJ6474J</t>
  </si>
  <si>
    <t>A - 809</t>
  </si>
  <si>
    <t>070710011010144</t>
  </si>
  <si>
    <t>AHVPB2289G</t>
  </si>
  <si>
    <t>A - 810</t>
  </si>
  <si>
    <t>GHAZIABAD</t>
  </si>
  <si>
    <t>HDFC0004833</t>
  </si>
  <si>
    <t>50100170271663</t>
  </si>
  <si>
    <t>AZUPB7059D</t>
  </si>
  <si>
    <t>A - 811</t>
  </si>
  <si>
    <t>HDFC0004134</t>
  </si>
  <si>
    <t>50100174094665</t>
  </si>
  <si>
    <t>ABGPG0535P</t>
  </si>
  <si>
    <t>A - 812</t>
  </si>
  <si>
    <t>BOB</t>
  </si>
  <si>
    <t>BARB0SIKAGR</t>
  </si>
  <si>
    <t>30500100008878</t>
  </si>
  <si>
    <t>ADOPI9842B</t>
  </si>
  <si>
    <t>A - 813</t>
  </si>
  <si>
    <t xml:space="preserve"> AWAS VIKAS AGRA</t>
  </si>
  <si>
    <t>BNXPG8577P</t>
  </si>
  <si>
    <t>A - 814</t>
  </si>
  <si>
    <t>DEVELOPMENT AUTHORITY AGRA</t>
  </si>
  <si>
    <t>540002010000522</t>
  </si>
  <si>
    <t>ABSPA3638B</t>
  </si>
  <si>
    <t>A - 901</t>
  </si>
  <si>
    <t>SADABAD MAHAMAYA NAGAR</t>
  </si>
  <si>
    <t>BARB0SADABA</t>
  </si>
  <si>
    <t>33880100010410</t>
  </si>
  <si>
    <t>A - 902</t>
  </si>
  <si>
    <t>Meera Verma</t>
  </si>
  <si>
    <t>ETAH</t>
  </si>
  <si>
    <t>SBIN0003388</t>
  </si>
  <si>
    <t>10851783952</t>
  </si>
  <si>
    <t>ABTPV7620B</t>
  </si>
  <si>
    <t>A - 903</t>
  </si>
  <si>
    <t xml:space="preserve">MORADABAD </t>
  </si>
  <si>
    <t>UTIB0001085</t>
  </si>
  <si>
    <t>918010055069480</t>
  </si>
  <si>
    <t>AQRPS8989D</t>
  </si>
  <si>
    <t>A - 904</t>
  </si>
  <si>
    <t>A - 905</t>
  </si>
  <si>
    <t xml:space="preserve">SIKANDARA AGRA </t>
  </si>
  <si>
    <t>CBIN0283079</t>
  </si>
  <si>
    <t>3149426369</t>
  </si>
  <si>
    <t>ABJPC2074N</t>
  </si>
  <si>
    <t>A - 906</t>
  </si>
  <si>
    <t xml:space="preserve">KOSI </t>
  </si>
  <si>
    <t>BKID0006854</t>
  </si>
  <si>
    <t>685410110001041</t>
  </si>
  <si>
    <t>ANKPS2057C</t>
  </si>
  <si>
    <t>A - 907</t>
  </si>
  <si>
    <t>NAVI MUMBAI</t>
  </si>
  <si>
    <t>CBIN0284592</t>
  </si>
  <si>
    <t>3463518978</t>
  </si>
  <si>
    <t>ABVPV6236B</t>
  </si>
  <si>
    <t>A - 908</t>
  </si>
  <si>
    <t>FARIDABAD</t>
  </si>
  <si>
    <t>ICIC0000083</t>
  </si>
  <si>
    <t>008301513260</t>
  </si>
  <si>
    <t>BMGPS7038R</t>
  </si>
  <si>
    <t>A - 909</t>
  </si>
  <si>
    <t>FIROZABAD MAIN AGRA</t>
  </si>
  <si>
    <t>AHMPJ8317L</t>
  </si>
  <si>
    <t>A - 910</t>
  </si>
  <si>
    <t>ROHINI</t>
  </si>
  <si>
    <t>UTIB0000371</t>
  </si>
  <si>
    <t>371010100070133</t>
  </si>
  <si>
    <t>AUHPG8437C</t>
  </si>
  <si>
    <t>A - 911</t>
  </si>
  <si>
    <t>GTB NAGAR DELHI</t>
  </si>
  <si>
    <t>90382010063941</t>
  </si>
  <si>
    <t>BAUPS5123F</t>
  </si>
  <si>
    <t>A - 912</t>
  </si>
  <si>
    <t>TRI NAGAR  DELHI</t>
  </si>
  <si>
    <t>UTIB0001150</t>
  </si>
  <si>
    <t>913010015832113</t>
  </si>
  <si>
    <t>AEBPR6668C</t>
  </si>
  <si>
    <t>A - 913</t>
  </si>
  <si>
    <t>2961000200118101</t>
  </si>
  <si>
    <t>A - 1001</t>
  </si>
  <si>
    <t>SUBZI MANDI DELHI</t>
  </si>
  <si>
    <t>AGCPM3282G</t>
  </si>
  <si>
    <t>A - 1003</t>
  </si>
  <si>
    <t>LAXMI NAGAR DELHI</t>
  </si>
  <si>
    <t>ICIC0000831</t>
  </si>
  <si>
    <t>083101001596</t>
  </si>
  <si>
    <t>BTJPM9050P</t>
  </si>
  <si>
    <t>A - 1004</t>
  </si>
  <si>
    <t xml:space="preserve">FIROZABAD </t>
  </si>
  <si>
    <t>PUNB0017300</t>
  </si>
  <si>
    <t>0173000100101565</t>
  </si>
  <si>
    <t>AAPPB7876A</t>
  </si>
  <si>
    <t>A - 1005</t>
  </si>
  <si>
    <t>A - 1006</t>
  </si>
  <si>
    <t>SBIN0004100</t>
  </si>
  <si>
    <t>ACGPT7010F
AARPT3314K</t>
  </si>
  <si>
    <t>A - 1007</t>
  </si>
  <si>
    <t xml:space="preserve">CHANDAUSI UP </t>
  </si>
  <si>
    <t>918010018200541</t>
  </si>
  <si>
    <t>DNVPS5138A</t>
  </si>
  <si>
    <t>A - 1008</t>
  </si>
  <si>
    <t>CHANDOAUSI</t>
  </si>
  <si>
    <t>HDFC0002462</t>
  </si>
  <si>
    <t>01341530005911</t>
  </si>
  <si>
    <t>DCAPS8837N</t>
  </si>
  <si>
    <t>A - 1009</t>
  </si>
  <si>
    <t>A - 1010</t>
  </si>
  <si>
    <t xml:space="preserve">KILA GABHANA ALIGARH </t>
  </si>
  <si>
    <t>PUNB0694600</t>
  </si>
  <si>
    <t>6946000100023704</t>
  </si>
  <si>
    <t>BVGPS3854J</t>
  </si>
  <si>
    <t>A - 1011</t>
  </si>
  <si>
    <t xml:space="preserve">TRI NAGAR </t>
  </si>
  <si>
    <t>913010018954515</t>
  </si>
  <si>
    <t>AAKPR5847E</t>
  </si>
  <si>
    <t>A - 1014</t>
  </si>
  <si>
    <t>Nalini Singh</t>
  </si>
  <si>
    <t>HARIDWAR ROAD BRANCH</t>
  </si>
  <si>
    <t>ICIC0006954</t>
  </si>
  <si>
    <t>695401503281</t>
  </si>
  <si>
    <t>AYCPS1539A</t>
  </si>
  <si>
    <t>A - 1101</t>
  </si>
  <si>
    <t xml:space="preserve">GREATER NOIDA </t>
  </si>
  <si>
    <t>ICIC0002183</t>
  </si>
  <si>
    <t>218305001966</t>
  </si>
  <si>
    <t>AACW0760E</t>
  </si>
  <si>
    <t>A - 1105</t>
  </si>
  <si>
    <t xml:space="preserve">DAYAL BAGH AGRA </t>
  </si>
  <si>
    <t>HDFC0004355</t>
  </si>
  <si>
    <t>50100228573898</t>
  </si>
  <si>
    <t>CAAPP1087L</t>
  </si>
  <si>
    <t>A - 1107</t>
  </si>
  <si>
    <t xml:space="preserve">LAJWANTI GARDEN DELHI </t>
  </si>
  <si>
    <t>PUNB0101610</t>
  </si>
  <si>
    <t>16102191005510</t>
  </si>
  <si>
    <t>AARPG7084K</t>
  </si>
  <si>
    <t>A - 1108</t>
  </si>
  <si>
    <t>Mona Shally</t>
  </si>
  <si>
    <t>KRISHNA NAGAR</t>
  </si>
  <si>
    <t>KKBK0004599</t>
  </si>
  <si>
    <t>3014395452</t>
  </si>
  <si>
    <t>AOBPM2624R</t>
  </si>
  <si>
    <t>A - 1111</t>
  </si>
  <si>
    <t>913010018778447</t>
  </si>
  <si>
    <t>ABWPR7444Q</t>
  </si>
  <si>
    <t>Monthly Payment</t>
  </si>
  <si>
    <t>Detail as per MOU</t>
  </si>
  <si>
    <t>Actual</t>
  </si>
  <si>
    <t>Payment Detail</t>
  </si>
  <si>
    <t>Date of 
MOU</t>
  </si>
  <si>
    <t>Payment Starting 
Date</t>
  </si>
  <si>
    <t>Payment Ends ON</t>
  </si>
  <si>
    <t>Total</t>
  </si>
  <si>
    <t>Paid</t>
  </si>
  <si>
    <t>Outstanding</t>
  </si>
  <si>
    <t>Assured 
Amount</t>
  </si>
  <si>
    <t>Amount 
Outstanding</t>
  </si>
  <si>
    <t>UBIN0935301</t>
  </si>
  <si>
    <t>UBIN0929051</t>
  </si>
  <si>
    <t>IDIB000F520</t>
  </si>
  <si>
    <t>CNRB0019033</t>
  </si>
  <si>
    <t>BARB0VJLALI</t>
  </si>
  <si>
    <t>77630100002773</t>
  </si>
  <si>
    <t>CNRB0018817</t>
  </si>
  <si>
    <t>PUNB0066710</t>
  </si>
  <si>
    <t>UBIN0807079</t>
  </si>
  <si>
    <t>BARB0DBSUBZ</t>
  </si>
  <si>
    <t>Ashok Prakash  Kulshreshtha</t>
  </si>
  <si>
    <t>BOI</t>
  </si>
  <si>
    <t>UBI</t>
  </si>
  <si>
    <t>HDFC</t>
  </si>
  <si>
    <t>CNB</t>
  </si>
  <si>
    <t>AXIS</t>
  </si>
  <si>
    <t>KMB</t>
  </si>
  <si>
    <t>PSB</t>
  </si>
  <si>
    <t>CBI</t>
  </si>
  <si>
    <t>IOB</t>
  </si>
  <si>
    <t>YBL</t>
  </si>
  <si>
    <t>INB</t>
  </si>
  <si>
    <t>FBL</t>
  </si>
  <si>
    <t>ARYAVART</t>
  </si>
  <si>
    <t xml:space="preserve">SOUTH MALAKA </t>
  </si>
  <si>
    <t>BARB0SOUTHM</t>
  </si>
  <si>
    <t>46810100003981</t>
  </si>
  <si>
    <t>Usha Gupta</t>
  </si>
  <si>
    <t>Rohini Raman Kaushal</t>
  </si>
  <si>
    <t>Priyanka Gupta</t>
  </si>
  <si>
    <t>Ranjana Jain</t>
  </si>
  <si>
    <t>Rishi Sethi</t>
  </si>
  <si>
    <t>Shakuntla Gupta</t>
  </si>
  <si>
    <t>Shashi Bala</t>
  </si>
  <si>
    <t>Sushil Kumar Burman</t>
  </si>
  <si>
    <t>Pratap Singh</t>
  </si>
  <si>
    <t>Asha Mishra</t>
  </si>
  <si>
    <t>Sameer Gautam</t>
  </si>
  <si>
    <t>Ram Kumar Sharma</t>
  </si>
  <si>
    <t>Sunita Sharma</t>
  </si>
  <si>
    <t>Bimla Agarwal</t>
  </si>
  <si>
    <t>Aman Sharma</t>
  </si>
  <si>
    <t>Sukrit Gupta</t>
  </si>
  <si>
    <t>Geeta Jaiswal</t>
  </si>
  <si>
    <t>Madhu Bhandari</t>
  </si>
  <si>
    <t>Madhu G Ganglani</t>
  </si>
  <si>
    <t xml:space="preserve">Kajla Dixit </t>
  </si>
  <si>
    <t>Manoj Kumar</t>
  </si>
  <si>
    <t>Shail Singhal</t>
  </si>
  <si>
    <t>Rajender Pratap Singh</t>
  </si>
  <si>
    <t>Namita Jain</t>
  </si>
  <si>
    <t>Neeru Arora</t>
  </si>
  <si>
    <t xml:space="preserve">Nisha Chaturvedi </t>
  </si>
  <si>
    <t>Anita Gupta</t>
  </si>
  <si>
    <t>Suman Rani</t>
  </si>
  <si>
    <t>Garima Sindhu</t>
  </si>
  <si>
    <t>Asha Tanwar</t>
  </si>
  <si>
    <t>Nita Jaggi</t>
  </si>
  <si>
    <t>Ketiki Singh Shastri</t>
  </si>
  <si>
    <t>Manju Arora</t>
  </si>
  <si>
    <t>Sushma Jain</t>
  </si>
  <si>
    <t>Santosh</t>
  </si>
  <si>
    <t>Geeta Giri</t>
  </si>
  <si>
    <t>Ramesh Kumar Jaggi</t>
  </si>
  <si>
    <t>Santokh Singh</t>
  </si>
  <si>
    <t>Amit Agarwal</t>
  </si>
  <si>
    <t>Shefali Rani Mukherji</t>
  </si>
  <si>
    <t>Shashi Khanna</t>
  </si>
  <si>
    <t>Veena Sahani</t>
  </si>
  <si>
    <t>Sanjay Madan and Sandhya Madan</t>
  </si>
  <si>
    <t>Rachna Parashar and Vandana Parashar</t>
  </si>
  <si>
    <t>Usha Gandhi</t>
  </si>
  <si>
    <t>Salman Shakeel</t>
  </si>
  <si>
    <t>Prem Chand Gupta</t>
  </si>
  <si>
    <t>Rani Gupta</t>
  </si>
  <si>
    <t>Madhav Katara</t>
  </si>
  <si>
    <t>Akshay Khullar</t>
  </si>
  <si>
    <t>Akhilesh Prakash Kulshreshtha</t>
  </si>
  <si>
    <t>Saroj Kulshrestha</t>
  </si>
  <si>
    <t>Rajeev Varshney</t>
  </si>
  <si>
    <t>Pooja Bhargav</t>
  </si>
  <si>
    <t>Nitin Jain</t>
  </si>
  <si>
    <t>Prateek Bansal</t>
  </si>
  <si>
    <t>Jitender Kumar</t>
  </si>
  <si>
    <t>Uma Shankar Prasad Singh</t>
  </si>
  <si>
    <t>Sita Mathur</t>
  </si>
  <si>
    <t>Ganga Ram Ganglani</t>
  </si>
  <si>
    <t>Sunil Kumar Gautam</t>
  </si>
  <si>
    <t>Nirmala Devi</t>
  </si>
  <si>
    <t>Aarti Sharma</t>
  </si>
  <si>
    <t xml:space="preserve">Sukeshni Julka </t>
  </si>
  <si>
    <t>Smita Chauhan</t>
  </si>
  <si>
    <t>Varsha Gupta</t>
  </si>
  <si>
    <t>Sujay Bhargava</t>
  </si>
  <si>
    <t>Aman Bhargava</t>
  </si>
  <si>
    <t>Anita Gautam and  Guru Charan Gautam</t>
  </si>
  <si>
    <t>Sangeeta Gupta and Ravi Gupta</t>
  </si>
  <si>
    <t>Kushum Shrivastva</t>
  </si>
  <si>
    <t>Bhawna Babbar</t>
  </si>
  <si>
    <t>Asha Devi</t>
  </si>
  <si>
    <t>Manish Ganglani</t>
  </si>
  <si>
    <t>Vinita Berry</t>
  </si>
  <si>
    <t>Rita Chib</t>
  </si>
  <si>
    <t>Ruchi Kulshreshtha</t>
  </si>
  <si>
    <t>Varsha Jain and Nitin Jain</t>
  </si>
  <si>
    <t>Maulik Berry</t>
  </si>
  <si>
    <t>Kanchan Bakshi</t>
  </si>
  <si>
    <t>Archana Gupta</t>
  </si>
  <si>
    <t>Pramila Chauhan Indravanshi</t>
  </si>
  <si>
    <t>Anita Gautam</t>
  </si>
  <si>
    <t>Ashok Kumar Agarwal</t>
  </si>
  <si>
    <t>Om Prakash Chahar and Kamlesh Chahar</t>
  </si>
  <si>
    <t>Madhvendra Singh</t>
  </si>
  <si>
    <t>Satyajeet Sharma</t>
  </si>
  <si>
    <t>Ravi Shankar Venkatrama</t>
  </si>
  <si>
    <t>Ekta Sharma</t>
  </si>
  <si>
    <t>Saurabh Jain</t>
  </si>
  <si>
    <t>Ravina Gupta</t>
  </si>
  <si>
    <t>Meenu Seth</t>
  </si>
  <si>
    <t>Deepak Rathore</t>
  </si>
  <si>
    <t>Pallavi Gupta</t>
  </si>
  <si>
    <t>Raj Bala Mittal</t>
  </si>
  <si>
    <t xml:space="preserve">Raj Minocha </t>
  </si>
  <si>
    <t>Laxmi Kant Bansal</t>
  </si>
  <si>
    <t>Sharda Tara and Vipin Tara</t>
  </si>
  <si>
    <t>Shivendra Singh</t>
  </si>
  <si>
    <t>Abhimanyu Raj Singh</t>
  </si>
  <si>
    <t>Ashok Kumar</t>
  </si>
  <si>
    <t xml:space="preserve">Shrishti Pradhan </t>
  </si>
  <si>
    <t>Madhu Bala</t>
  </si>
  <si>
    <t>Western Energetics Pvt Ltd</t>
  </si>
  <si>
    <t>Deepika Singh</t>
  </si>
  <si>
    <t xml:space="preserve">Tapan Kumar Chanda and Ratan Chanda </t>
  </si>
  <si>
    <t>Shalini Sharma</t>
  </si>
  <si>
    <t xml:space="preserve">Divya Gautam </t>
  </si>
  <si>
    <t>Lord Krishna Foundation</t>
  </si>
  <si>
    <t>Jyoti Dixit and Sanjay kumar Dixit</t>
  </si>
  <si>
    <t>Krishna Vally</t>
  </si>
  <si>
    <t>Assured Monthly Payment Sheet for Bank</t>
  </si>
  <si>
    <t>Tower - A</t>
  </si>
  <si>
    <t>Actual 
Due Date</t>
  </si>
  <si>
    <t>Shefali Mukherji and Robi Shankar Mukherji</t>
  </si>
  <si>
    <t>Shyam Sachan and Yogender Singh</t>
  </si>
  <si>
    <t>Vandana Singh and Vinay Kumar Singh</t>
  </si>
  <si>
    <t xml:space="preserve">Sandhya Madan and Sanjay Madan </t>
  </si>
  <si>
    <t>Bharti Gambhir and Jay Gambhir</t>
  </si>
  <si>
    <t>Due 
Date</t>
  </si>
  <si>
    <t>Amount
Paid</t>
  </si>
  <si>
    <t>A - 506</t>
  </si>
  <si>
    <t>Seema Srivastav</t>
  </si>
  <si>
    <t>ICICI BANK</t>
  </si>
  <si>
    <t>RANCHI</t>
  </si>
  <si>
    <t>ICIC0000292</t>
  </si>
  <si>
    <t>029201502236</t>
  </si>
  <si>
    <t>Initial 
Amount</t>
  </si>
  <si>
    <t>Same</t>
  </si>
  <si>
    <t>Vaishnavi Chahar</t>
  </si>
  <si>
    <t>Kartikey Chahar</t>
  </si>
  <si>
    <t xml:space="preserve">ABWPC7326A
</t>
  </si>
  <si>
    <t>BARB0VJRADE</t>
  </si>
  <si>
    <t>76760100000017</t>
  </si>
  <si>
    <t>Sujay Bhargava 
Aman Bhargava</t>
  </si>
  <si>
    <t>Rajesh Sharma 
Kamlesh Sharma</t>
  </si>
  <si>
    <t>A - 306</t>
  </si>
  <si>
    <t>A - 313</t>
  </si>
  <si>
    <t>Anoop Kumar Gupta
Purnima Gupta</t>
  </si>
  <si>
    <t>CNRB0018620</t>
  </si>
  <si>
    <t>86202200014503</t>
  </si>
  <si>
    <t>AELPG8026M
ANYPG3296M</t>
  </si>
  <si>
    <t>Rajesh Wason</t>
  </si>
  <si>
    <t xml:space="preserve">Varsha Jain </t>
  </si>
  <si>
    <t>30500100007844</t>
  </si>
  <si>
    <t>AHRPK9788K</t>
  </si>
  <si>
    <t>KBL</t>
  </si>
  <si>
    <t>KARB0000030</t>
  </si>
  <si>
    <t>0302500100238001</t>
  </si>
  <si>
    <t>BAQPJ9125G</t>
  </si>
  <si>
    <t>BBUPS5536F</t>
  </si>
  <si>
    <t>70740100005769</t>
  </si>
  <si>
    <t>Shefali Mukherji
Robi Shankar Mukherji</t>
  </si>
  <si>
    <t xml:space="preserve"> </t>
  </si>
  <si>
    <t>YESB0000088</t>
  </si>
  <si>
    <t>008890100000600</t>
  </si>
  <si>
    <t>A - 108</t>
  </si>
  <si>
    <t>A - 112</t>
  </si>
  <si>
    <t>Puneet</t>
  </si>
  <si>
    <t>25/05/2023</t>
  </si>
  <si>
    <t>25/07/2027</t>
  </si>
  <si>
    <t>A -1109</t>
  </si>
  <si>
    <t>Jasbir Kaur &amp; Harsimran Singh</t>
  </si>
  <si>
    <t>A -1110</t>
  </si>
  <si>
    <t>Rahul Gupta</t>
  </si>
  <si>
    <t>25/10/2023</t>
  </si>
  <si>
    <t>25/11/2027</t>
  </si>
  <si>
    <t>A - 107</t>
  </si>
  <si>
    <t>Neha Bansal</t>
  </si>
  <si>
    <t>05/09/2023</t>
  </si>
  <si>
    <t>A - 110</t>
  </si>
  <si>
    <t>Swati Srivastava</t>
  </si>
  <si>
    <t>Pramod Kumar Srivastav</t>
  </si>
  <si>
    <t>+</t>
  </si>
  <si>
    <t>A - 106</t>
  </si>
  <si>
    <t>Pawan Kishore</t>
  </si>
  <si>
    <t>A - 109</t>
  </si>
  <si>
    <t>Divya Gautam</t>
  </si>
  <si>
    <t xml:space="preserve">S.No </t>
  </si>
  <si>
    <t>KUSUM SHREIVASTAV</t>
  </si>
  <si>
    <t xml:space="preserve">Clear </t>
  </si>
  <si>
    <t xml:space="preserve">ajay </t>
  </si>
  <si>
    <t xml:space="preserve">home </t>
  </si>
  <si>
    <t xml:space="preserve">clear </t>
  </si>
  <si>
    <t xml:space="preserve">canara bank neeraj ji </t>
  </si>
  <si>
    <t xml:space="preserve">bank </t>
  </si>
  <si>
    <t xml:space="preserve">hdfc / icici </t>
  </si>
  <si>
    <t xml:space="preserve">neeraj ji </t>
  </si>
  <si>
    <t xml:space="preserve">48 kamlesh / 64 rajesh </t>
  </si>
  <si>
    <t>-</t>
  </si>
  <si>
    <t>A - 002</t>
  </si>
  <si>
    <t>Yogender Singh</t>
  </si>
  <si>
    <t>A - 006</t>
  </si>
  <si>
    <t>Rahul Tripathi &amp; Prajesh Nayak</t>
  </si>
  <si>
    <t>A - 008</t>
  </si>
  <si>
    <t>A - 101</t>
  </si>
  <si>
    <t>Munesh Kumar</t>
  </si>
  <si>
    <t>A - 103</t>
  </si>
  <si>
    <t>Babita Sharma</t>
  </si>
  <si>
    <t xml:space="preserve">10TH </t>
  </si>
  <si>
    <t>A -004</t>
  </si>
  <si>
    <t>Harshit Gupta</t>
  </si>
  <si>
    <t>Shivani Sharma &amp; Arun Kuamr Sharma</t>
  </si>
  <si>
    <t>A-001</t>
  </si>
  <si>
    <t>Ved Prakash Agarwal</t>
  </si>
  <si>
    <t>07/04/2025</t>
  </si>
  <si>
    <t>14/11/2024</t>
  </si>
  <si>
    <t>14/06/2025</t>
  </si>
  <si>
    <t>25/07/2025</t>
  </si>
  <si>
    <t>25/06/2028</t>
  </si>
  <si>
    <t>26/03/2025</t>
  </si>
  <si>
    <t>25/03/2028</t>
  </si>
  <si>
    <t>25/04/2025</t>
  </si>
  <si>
    <t>25/02/2025</t>
  </si>
  <si>
    <t>25/03/2025</t>
  </si>
  <si>
    <t>25/02/2028</t>
  </si>
  <si>
    <t>24/02/2025</t>
  </si>
  <si>
    <t>10/04/2025</t>
  </si>
  <si>
    <t>10/05/2025</t>
  </si>
  <si>
    <t>10/04/2028</t>
  </si>
  <si>
    <t>A - 114</t>
  </si>
  <si>
    <t xml:space="preserve">A - 512 </t>
  </si>
  <si>
    <t>A-003</t>
  </si>
  <si>
    <t>Shashi Moul Tiwari</t>
  </si>
  <si>
    <t>A -013</t>
  </si>
  <si>
    <t>Jaideep Gupta</t>
  </si>
  <si>
    <t>A - 102</t>
  </si>
  <si>
    <t>Satyabhan Singh</t>
  </si>
  <si>
    <t>A -113</t>
  </si>
  <si>
    <t>Neelam Gupta</t>
  </si>
  <si>
    <t>A - 713</t>
  </si>
  <si>
    <t>Lata Sharma</t>
  </si>
  <si>
    <t xml:space="preserve">A -914 </t>
  </si>
  <si>
    <t>Vikas Singh</t>
  </si>
  <si>
    <t>A -1114</t>
  </si>
  <si>
    <t>A-801</t>
  </si>
  <si>
    <t>Mohini Choudhary</t>
  </si>
  <si>
    <t>A- 1002</t>
  </si>
  <si>
    <t>Nisha Singhal</t>
  </si>
  <si>
    <t>A-014</t>
  </si>
  <si>
    <t>Rachna Rathore</t>
  </si>
  <si>
    <t>30/09/2025</t>
  </si>
  <si>
    <t>25/10/2025</t>
  </si>
  <si>
    <t>25/09/2028</t>
  </si>
  <si>
    <t>01/08/2025</t>
  </si>
  <si>
    <t>A-202</t>
  </si>
  <si>
    <t>Rajrulari Agarwal</t>
  </si>
  <si>
    <t>15/12/2025</t>
  </si>
  <si>
    <t>25/01/2026</t>
  </si>
  <si>
    <t>25/12/2028</t>
  </si>
  <si>
    <t>A-701</t>
  </si>
  <si>
    <t>Vimal Tripathi &amp; Namita Tripathi</t>
  </si>
  <si>
    <t>A-805</t>
  </si>
  <si>
    <t>Punam Kumari Thakur</t>
  </si>
  <si>
    <t>21/11/2025</t>
  </si>
  <si>
    <t>25/12/2025</t>
  </si>
  <si>
    <t>25/11/2028</t>
  </si>
  <si>
    <t>A-502</t>
  </si>
  <si>
    <t>Jitender</t>
  </si>
  <si>
    <t>25TH</t>
  </si>
  <si>
    <t>23/04/2025</t>
  </si>
  <si>
    <t>25/05/2025</t>
  </si>
  <si>
    <t>RESELL</t>
  </si>
  <si>
    <t>A-105</t>
  </si>
  <si>
    <t>MADAN GOPAL SARASWAT</t>
  </si>
  <si>
    <t>14/10/2025</t>
  </si>
  <si>
    <t>25/11/2025</t>
  </si>
  <si>
    <t>25/10/2029</t>
  </si>
  <si>
    <t>A-404</t>
  </si>
  <si>
    <t>Vishnu Kumar Agarwal</t>
  </si>
  <si>
    <t>A-411</t>
  </si>
  <si>
    <t xml:space="preserve">SWATI </t>
  </si>
  <si>
    <t>13/10/2025</t>
  </si>
  <si>
    <t>A-508</t>
  </si>
  <si>
    <t>25/09/2025</t>
  </si>
  <si>
    <t>25/08/2025</t>
  </si>
  <si>
    <t xml:space="preserve">A - 603 </t>
  </si>
  <si>
    <t xml:space="preserve">Pooja Chand Dwivedi </t>
  </si>
  <si>
    <t xml:space="preserve">25th </t>
  </si>
  <si>
    <t>A - 1013</t>
  </si>
  <si>
    <t>Shilpee Srivastav</t>
  </si>
  <si>
    <t>A-005</t>
  </si>
  <si>
    <t>Padam Kumar &amp; Nitin Kumar</t>
  </si>
  <si>
    <t>01/11/2025</t>
  </si>
  <si>
    <t>A - 111</t>
  </si>
  <si>
    <t>Nitin Kumar</t>
  </si>
  <si>
    <t>10/08/2025</t>
  </si>
  <si>
    <t>10TH</t>
  </si>
  <si>
    <t>06/05/2025</t>
  </si>
  <si>
    <t>Gaurav Gupta</t>
  </si>
  <si>
    <t>Mamta Singh</t>
  </si>
  <si>
    <t>Sunita Gupta</t>
  </si>
  <si>
    <t>05/12/2025</t>
  </si>
  <si>
    <t>31000</t>
  </si>
  <si>
    <t>Praveen Tripathi</t>
  </si>
  <si>
    <t>Rashmi Rekha Sahu</t>
  </si>
  <si>
    <t>27/07/2028</t>
  </si>
  <si>
    <t>A-714</t>
  </si>
  <si>
    <t>Manish Sharma</t>
  </si>
  <si>
    <t>A-803</t>
  </si>
  <si>
    <t>Sikha Srivastav</t>
  </si>
  <si>
    <t>16/06/2025</t>
  </si>
  <si>
    <t>resell</t>
  </si>
  <si>
    <t>A -909</t>
  </si>
  <si>
    <t>Ashwar Gupta</t>
  </si>
  <si>
    <t>A -1006</t>
  </si>
  <si>
    <t>Anju Sharma</t>
  </si>
  <si>
    <t>A-1008</t>
  </si>
  <si>
    <t>Sangeeta Chaturvedi</t>
  </si>
  <si>
    <t>22/12/2025</t>
  </si>
  <si>
    <t>A-1009</t>
  </si>
  <si>
    <t>A-1104</t>
  </si>
  <si>
    <t>Vijay Rani</t>
  </si>
  <si>
    <t>15/09/2025</t>
  </si>
  <si>
    <t>A-503</t>
  </si>
  <si>
    <t>Manju Goyal</t>
  </si>
  <si>
    <t>21/01/2026</t>
  </si>
  <si>
    <t>25/02/2026</t>
  </si>
  <si>
    <t>25/02/2029</t>
  </si>
  <si>
    <t>A -1003</t>
  </si>
  <si>
    <t>Rimpi Rani</t>
  </si>
  <si>
    <t>25/01/2029</t>
  </si>
  <si>
    <t>A-1103</t>
  </si>
  <si>
    <t>A-1106</t>
  </si>
  <si>
    <t xml:space="preserve">SHAYAMA SACHAN </t>
  </si>
  <si>
    <t xml:space="preserve">10th </t>
  </si>
  <si>
    <t>GEETA GIRI</t>
  </si>
  <si>
    <t xml:space="preserve">REGISTRY </t>
  </si>
  <si>
    <t>DONE</t>
  </si>
  <si>
    <t>23/06/2025</t>
  </si>
  <si>
    <t>17/06/2025</t>
  </si>
  <si>
    <t>POSSESSION</t>
  </si>
  <si>
    <t>REMARK</t>
  </si>
  <si>
    <t>A-203</t>
  </si>
  <si>
    <t>Sarika Jain</t>
  </si>
  <si>
    <t>13/03/2026</t>
  </si>
  <si>
    <t>25/04/2026</t>
  </si>
  <si>
    <t>25/03/2029</t>
  </si>
  <si>
    <t>rent</t>
  </si>
  <si>
    <t>A-206</t>
  </si>
  <si>
    <t>Sushmita Singh</t>
  </si>
  <si>
    <t>21/05/2026</t>
  </si>
  <si>
    <t>25/06/2026</t>
  </si>
  <si>
    <t>25/05/2029</t>
  </si>
  <si>
    <t>possession</t>
  </si>
  <si>
    <t>rent stop</t>
  </si>
  <si>
    <t>A - 401</t>
  </si>
  <si>
    <t>Amita Ahuja</t>
  </si>
  <si>
    <t>A-610</t>
  </si>
  <si>
    <t>Sudheer Rai</t>
  </si>
  <si>
    <t>A-706</t>
  </si>
  <si>
    <t>Brij Gopal Shah</t>
  </si>
  <si>
    <t>A-708</t>
  </si>
  <si>
    <t>Monika Sharma</t>
  </si>
  <si>
    <t>04/04/2026</t>
  </si>
  <si>
    <t>10/05/2026</t>
  </si>
  <si>
    <t>09/07/2025</t>
  </si>
  <si>
    <t>25/07/2028</t>
  </si>
  <si>
    <t>return</t>
  </si>
  <si>
    <t>vacant</t>
  </si>
  <si>
    <t>A - 1012</t>
  </si>
  <si>
    <t>RENEWAL</t>
  </si>
  <si>
    <t>A-1102</t>
  </si>
  <si>
    <t>Vacant</t>
  </si>
  <si>
    <t>A-1112</t>
  </si>
  <si>
    <t>Sadhna Pachauri</t>
  </si>
  <si>
    <t>25/03/2026</t>
  </si>
  <si>
    <t>A - 1113</t>
  </si>
  <si>
    <t>Poonam Rani</t>
  </si>
  <si>
    <t>25/05/2026</t>
  </si>
  <si>
    <t>A-301</t>
  </si>
  <si>
    <t>Tarkeshwar Prasad</t>
  </si>
  <si>
    <t>06/05/2026</t>
  </si>
  <si>
    <t>A- 303</t>
  </si>
  <si>
    <t>Sumant Kumar</t>
  </si>
  <si>
    <t>A-808</t>
  </si>
  <si>
    <t>Shubham</t>
  </si>
  <si>
    <t>Shilpi Gupta</t>
  </si>
  <si>
    <t>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</si>
</sst>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mmm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5" fontId="3" fillId="3" borderId="4" xfId="1" applyNumberFormat="1" applyFont="1" applyFill="1" applyBorder="1" applyAlignment="1">
      <alignment horizontal="center" vertical="center" wrapText="1"/>
    </xf>
    <xf numFmtId="165" fontId="3" fillId="3" borderId="3" xfId="1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0" borderId="9" xfId="0" applyFont="1" applyBorder="1"/>
    <xf numFmtId="165" fontId="2" fillId="0" borderId="8" xfId="1" applyNumberFormat="1" applyFont="1" applyBorder="1"/>
    <xf numFmtId="165" fontId="2" fillId="0" borderId="9" xfId="1" applyNumberFormat="1" applyFont="1" applyBorder="1"/>
    <xf numFmtId="165" fontId="2" fillId="0" borderId="9" xfId="1" applyNumberFormat="1" applyFont="1" applyFill="1" applyBorder="1"/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1" xfId="0" applyFont="1" applyBorder="1"/>
    <xf numFmtId="0" fontId="2" fillId="0" borderId="10" xfId="0" applyFont="1" applyBorder="1"/>
    <xf numFmtId="0" fontId="2" fillId="0" borderId="9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3" xfId="0" applyFont="1" applyBorder="1"/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165" fontId="2" fillId="0" borderId="8" xfId="1" applyNumberFormat="1" applyFont="1" applyFill="1" applyBorder="1"/>
    <xf numFmtId="0" fontId="4" fillId="0" borderId="13" xfId="0" applyFont="1" applyBorder="1"/>
    <xf numFmtId="0" fontId="4" fillId="0" borderId="12" xfId="0" applyFont="1" applyBorder="1"/>
    <xf numFmtId="0" fontId="2" fillId="0" borderId="14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2" fillId="4" borderId="13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/>
    <xf numFmtId="165" fontId="3" fillId="3" borderId="4" xfId="1" applyNumberFormat="1" applyFont="1" applyFill="1" applyBorder="1"/>
    <xf numFmtId="165" fontId="3" fillId="3" borderId="3" xfId="1" applyNumberFormat="1" applyFont="1" applyFill="1" applyBorder="1"/>
    <xf numFmtId="0" fontId="2" fillId="3" borderId="16" xfId="0" applyFont="1" applyFill="1" applyBorder="1" applyAlignment="1">
      <alignment wrapText="1"/>
    </xf>
    <xf numFmtId="0" fontId="2" fillId="3" borderId="17" xfId="0" applyFont="1" applyFill="1" applyBorder="1" applyAlignment="1">
      <alignment wrapText="1"/>
    </xf>
    <xf numFmtId="0" fontId="2" fillId="3" borderId="17" xfId="0" applyFont="1" applyFill="1" applyBorder="1"/>
    <xf numFmtId="0" fontId="2" fillId="3" borderId="16" xfId="0" applyFont="1" applyFill="1" applyBorder="1"/>
    <xf numFmtId="165" fontId="2" fillId="0" borderId="0" xfId="1" applyNumberFormat="1" applyFont="1"/>
    <xf numFmtId="0" fontId="4" fillId="0" borderId="13" xfId="0" applyFont="1" applyBorder="1" applyAlignment="1">
      <alignment wrapText="1"/>
    </xf>
    <xf numFmtId="49" fontId="2" fillId="0" borderId="10" xfId="0" applyNumberFormat="1" applyFont="1" applyBorder="1" applyAlignment="1">
      <alignment horizontal="left"/>
    </xf>
    <xf numFmtId="49" fontId="2" fillId="0" borderId="12" xfId="0" applyNumberFormat="1" applyFont="1" applyBorder="1" applyAlignment="1">
      <alignment horizontal="left"/>
    </xf>
    <xf numFmtId="49" fontId="2" fillId="0" borderId="12" xfId="0" applyNumberFormat="1" applyFont="1" applyBorder="1"/>
    <xf numFmtId="49" fontId="4" fillId="0" borderId="12" xfId="0" applyNumberFormat="1" applyFont="1" applyBorder="1" applyAlignment="1">
      <alignment horizontal="left"/>
    </xf>
    <xf numFmtId="49" fontId="2" fillId="3" borderId="16" xfId="0" applyNumberFormat="1" applyFont="1" applyFill="1" applyBorder="1" applyAlignment="1">
      <alignment horizontal="left"/>
    </xf>
    <xf numFmtId="14" fontId="2" fillId="0" borderId="14" xfId="0" applyNumberFormat="1" applyFont="1" applyBorder="1" applyAlignment="1">
      <alignment wrapText="1"/>
    </xf>
    <xf numFmtId="165" fontId="4" fillId="0" borderId="9" xfId="1" applyNumberFormat="1" applyFont="1" applyFill="1" applyBorder="1"/>
    <xf numFmtId="0" fontId="4" fillId="0" borderId="0" xfId="0" applyFont="1"/>
    <xf numFmtId="165" fontId="4" fillId="0" borderId="8" xfId="1" applyNumberFormat="1" applyFont="1" applyFill="1" applyBorder="1"/>
    <xf numFmtId="49" fontId="4" fillId="0" borderId="12" xfId="0" applyNumberFormat="1" applyFont="1" applyBorder="1"/>
    <xf numFmtId="165" fontId="2" fillId="2" borderId="4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9" xfId="0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2" fillId="3" borderId="3" xfId="0" applyFont="1" applyFill="1" applyBorder="1" applyAlignment="1">
      <alignment wrapText="1"/>
    </xf>
    <xf numFmtId="14" fontId="2" fillId="0" borderId="0" xfId="0" applyNumberFormat="1" applyFont="1"/>
    <xf numFmtId="0" fontId="2" fillId="0" borderId="8" xfId="0" applyFont="1" applyBorder="1" applyAlignment="1">
      <alignment horizontal="center"/>
    </xf>
    <xf numFmtId="0" fontId="2" fillId="5" borderId="13" xfId="0" applyFont="1" applyFill="1" applyBorder="1"/>
    <xf numFmtId="0" fontId="2" fillId="5" borderId="14" xfId="0" applyFont="1" applyFill="1" applyBorder="1" applyAlignment="1">
      <alignment wrapText="1"/>
    </xf>
    <xf numFmtId="0" fontId="2" fillId="5" borderId="0" xfId="0" applyFont="1" applyFill="1"/>
    <xf numFmtId="165" fontId="2" fillId="5" borderId="8" xfId="1" applyNumberFormat="1" applyFont="1" applyFill="1" applyBorder="1"/>
    <xf numFmtId="165" fontId="2" fillId="5" borderId="9" xfId="1" applyNumberFormat="1" applyFont="1" applyFill="1" applyBorder="1"/>
    <xf numFmtId="0" fontId="2" fillId="5" borderId="12" xfId="0" applyFont="1" applyFill="1" applyBorder="1" applyAlignment="1">
      <alignment wrapText="1"/>
    </xf>
    <xf numFmtId="0" fontId="2" fillId="5" borderId="13" xfId="0" applyFont="1" applyFill="1" applyBorder="1" applyAlignment="1">
      <alignment wrapText="1"/>
    </xf>
    <xf numFmtId="49" fontId="2" fillId="5" borderId="12" xfId="0" applyNumberFormat="1" applyFont="1" applyFill="1" applyBorder="1" applyAlignment="1">
      <alignment horizontal="left"/>
    </xf>
    <xf numFmtId="0" fontId="2" fillId="5" borderId="12" xfId="0" applyFont="1" applyFill="1" applyBorder="1"/>
    <xf numFmtId="0" fontId="2" fillId="4" borderId="14" xfId="0" applyFont="1" applyFill="1" applyBorder="1" applyAlignment="1">
      <alignment wrapText="1"/>
    </xf>
    <xf numFmtId="164" fontId="2" fillId="0" borderId="0" xfId="1" applyFont="1"/>
    <xf numFmtId="0" fontId="2" fillId="4" borderId="15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4" fillId="4" borderId="13" xfId="0" applyFont="1" applyFill="1" applyBorder="1"/>
    <xf numFmtId="0" fontId="2" fillId="4" borderId="0" xfId="0" applyFont="1" applyFill="1"/>
    <xf numFmtId="0" fontId="4" fillId="4" borderId="0" xfId="0" applyFont="1" applyFill="1"/>
    <xf numFmtId="0" fontId="2" fillId="6" borderId="0" xfId="0" applyFont="1" applyFill="1"/>
    <xf numFmtId="0" fontId="2" fillId="7" borderId="13" xfId="0" applyFont="1" applyFill="1" applyBorder="1"/>
    <xf numFmtId="0" fontId="2" fillId="7" borderId="13" xfId="0" applyFont="1" applyFill="1" applyBorder="1" applyAlignment="1">
      <alignment wrapText="1"/>
    </xf>
    <xf numFmtId="0" fontId="2" fillId="7" borderId="12" xfId="0" applyFont="1" applyFill="1" applyBorder="1" applyAlignment="1">
      <alignment wrapText="1"/>
    </xf>
    <xf numFmtId="49" fontId="2" fillId="7" borderId="12" xfId="0" applyNumberFormat="1" applyFont="1" applyFill="1" applyBorder="1" applyAlignment="1">
      <alignment horizontal="left"/>
    </xf>
    <xf numFmtId="0" fontId="4" fillId="6" borderId="13" xfId="0" applyFont="1" applyFill="1" applyBorder="1"/>
    <xf numFmtId="0" fontId="4" fillId="6" borderId="14" xfId="0" applyFont="1" applyFill="1" applyBorder="1" applyAlignment="1">
      <alignment wrapText="1"/>
    </xf>
    <xf numFmtId="165" fontId="2" fillId="6" borderId="8" xfId="1" applyNumberFormat="1" applyFont="1" applyFill="1" applyBorder="1"/>
    <xf numFmtId="165" fontId="2" fillId="6" borderId="9" xfId="1" applyNumberFormat="1" applyFont="1" applyFill="1" applyBorder="1"/>
    <xf numFmtId="14" fontId="2" fillId="6" borderId="12" xfId="0" applyNumberFormat="1" applyFont="1" applyFill="1" applyBorder="1"/>
    <xf numFmtId="0" fontId="2" fillId="6" borderId="12" xfId="0" applyFont="1" applyFill="1" applyBorder="1" applyAlignment="1">
      <alignment horizontal="center"/>
    </xf>
    <xf numFmtId="164" fontId="4" fillId="6" borderId="8" xfId="1" applyFont="1" applyFill="1" applyBorder="1" applyAlignment="1">
      <alignment horizontal="center"/>
    </xf>
    <xf numFmtId="165" fontId="9" fillId="6" borderId="8" xfId="1" applyNumberFormat="1" applyFont="1" applyFill="1" applyBorder="1"/>
    <xf numFmtId="165" fontId="9" fillId="6" borderId="9" xfId="1" applyNumberFormat="1" applyFont="1" applyFill="1" applyBorder="1"/>
    <xf numFmtId="0" fontId="2" fillId="6" borderId="13" xfId="0" applyFont="1" applyFill="1" applyBorder="1" applyAlignment="1">
      <alignment wrapText="1"/>
    </xf>
    <xf numFmtId="1" fontId="4" fillId="6" borderId="8" xfId="0" applyNumberFormat="1" applyFont="1" applyFill="1" applyBorder="1" applyAlignment="1">
      <alignment horizontal="center"/>
    </xf>
    <xf numFmtId="0" fontId="2" fillId="6" borderId="13" xfId="0" applyFont="1" applyFill="1" applyBorder="1"/>
    <xf numFmtId="165" fontId="4" fillId="6" borderId="8" xfId="1" applyNumberFormat="1" applyFont="1" applyFill="1" applyBorder="1"/>
    <xf numFmtId="0" fontId="4" fillId="6" borderId="13" xfId="0" applyFont="1" applyFill="1" applyBorder="1" applyAlignment="1">
      <alignment wrapText="1"/>
    </xf>
    <xf numFmtId="0" fontId="2" fillId="6" borderId="14" xfId="0" applyFont="1" applyFill="1" applyBorder="1" applyAlignment="1">
      <alignment wrapText="1"/>
    </xf>
    <xf numFmtId="0" fontId="4" fillId="6" borderId="0" xfId="0" applyFont="1" applyFill="1"/>
    <xf numFmtId="14" fontId="4" fillId="6" borderId="12" xfId="0" applyNumberFormat="1" applyFont="1" applyFill="1" applyBorder="1"/>
    <xf numFmtId="165" fontId="9" fillId="0" borderId="8" xfId="1" applyNumberFormat="1" applyFont="1" applyFill="1" applyBorder="1"/>
    <xf numFmtId="14" fontId="2" fillId="0" borderId="12" xfId="0" applyNumberFormat="1" applyFont="1" applyBorder="1"/>
    <xf numFmtId="0" fontId="0" fillId="7" borderId="0" xfId="0" applyFill="1"/>
    <xf numFmtId="0" fontId="8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11" fillId="0" borderId="18" xfId="0" applyFont="1" applyBorder="1"/>
    <xf numFmtId="165" fontId="8" fillId="3" borderId="18" xfId="1" applyNumberFormat="1" applyFont="1" applyFill="1" applyBorder="1" applyAlignment="1">
      <alignment horizontal="center" vertical="center" wrapText="1"/>
    </xf>
    <xf numFmtId="1" fontId="8" fillId="3" borderId="18" xfId="1" applyNumberFormat="1" applyFont="1" applyFill="1" applyBorder="1" applyAlignment="1">
      <alignment horizontal="center" vertical="center" wrapText="1"/>
    </xf>
    <xf numFmtId="164" fontId="8" fillId="3" borderId="18" xfId="1" applyFont="1" applyFill="1" applyBorder="1" applyAlignment="1">
      <alignment horizontal="center" vertical="center" wrapText="1"/>
    </xf>
    <xf numFmtId="2" fontId="8" fillId="3" borderId="18" xfId="1" applyNumberFormat="1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/>
    </xf>
    <xf numFmtId="164" fontId="11" fillId="3" borderId="18" xfId="1" applyFont="1" applyFill="1" applyBorder="1"/>
    <xf numFmtId="0" fontId="11" fillId="3" borderId="18" xfId="0" applyFont="1" applyFill="1" applyBorder="1"/>
    <xf numFmtId="0" fontId="11" fillId="7" borderId="18" xfId="0" applyFont="1" applyFill="1" applyBorder="1" applyAlignment="1">
      <alignment horizontal="center"/>
    </xf>
    <xf numFmtId="0" fontId="12" fillId="7" borderId="18" xfId="0" applyFont="1" applyFill="1" applyBorder="1"/>
    <xf numFmtId="0" fontId="12" fillId="7" borderId="18" xfId="0" applyFont="1" applyFill="1" applyBorder="1" applyAlignment="1">
      <alignment wrapText="1"/>
    </xf>
    <xf numFmtId="0" fontId="11" fillId="7" borderId="18" xfId="0" applyFont="1" applyFill="1" applyBorder="1"/>
    <xf numFmtId="165" fontId="11" fillId="7" borderId="18" xfId="1" applyNumberFormat="1" applyFont="1" applyFill="1" applyBorder="1"/>
    <xf numFmtId="164" fontId="12" fillId="7" borderId="18" xfId="1" applyFont="1" applyFill="1" applyBorder="1" applyAlignment="1">
      <alignment horizontal="center"/>
    </xf>
    <xf numFmtId="165" fontId="12" fillId="7" borderId="18" xfId="1" applyNumberFormat="1" applyFont="1" applyFill="1" applyBorder="1"/>
    <xf numFmtId="0" fontId="11" fillId="7" borderId="18" xfId="0" applyFont="1" applyFill="1" applyBorder="1" applyAlignment="1">
      <alignment wrapText="1"/>
    </xf>
    <xf numFmtId="1" fontId="12" fillId="7" borderId="18" xfId="0" applyNumberFormat="1" applyFont="1" applyFill="1" applyBorder="1" applyAlignment="1">
      <alignment horizontal="center"/>
    </xf>
    <xf numFmtId="0" fontId="11" fillId="0" borderId="0" xfId="0" applyFont="1"/>
    <xf numFmtId="165" fontId="8" fillId="0" borderId="0" xfId="0" applyNumberFormat="1" applyFont="1"/>
    <xf numFmtId="165" fontId="12" fillId="8" borderId="18" xfId="1" applyNumberFormat="1" applyFont="1" applyFill="1" applyBorder="1"/>
    <xf numFmtId="0" fontId="11" fillId="8" borderId="18" xfId="0" applyFont="1" applyFill="1" applyBorder="1" applyAlignment="1">
      <alignment horizontal="center"/>
    </xf>
    <xf numFmtId="0" fontId="11" fillId="8" borderId="18" xfId="0" applyFont="1" applyFill="1" applyBorder="1"/>
    <xf numFmtId="0" fontId="11" fillId="8" borderId="18" xfId="0" applyFont="1" applyFill="1" applyBorder="1" applyAlignment="1">
      <alignment wrapText="1"/>
    </xf>
    <xf numFmtId="165" fontId="11" fillId="8" borderId="18" xfId="1" applyNumberFormat="1" applyFont="1" applyFill="1" applyBorder="1"/>
    <xf numFmtId="164" fontId="12" fillId="8" borderId="18" xfId="1" applyFont="1" applyFill="1" applyBorder="1" applyAlignment="1">
      <alignment horizontal="center"/>
    </xf>
    <xf numFmtId="1" fontId="12" fillId="8" borderId="18" xfId="0" applyNumberFormat="1" applyFont="1" applyFill="1" applyBorder="1" applyAlignment="1">
      <alignment horizontal="center"/>
    </xf>
    <xf numFmtId="164" fontId="11" fillId="8" borderId="18" xfId="1" applyFont="1" applyFill="1" applyBorder="1" applyAlignment="1">
      <alignment horizontal="center"/>
    </xf>
    <xf numFmtId="0" fontId="12" fillId="8" borderId="18" xfId="0" applyFont="1" applyFill="1" applyBorder="1"/>
    <xf numFmtId="0" fontId="12" fillId="8" borderId="18" xfId="0" applyFont="1" applyFill="1" applyBorder="1" applyAlignment="1">
      <alignment wrapText="1"/>
    </xf>
    <xf numFmtId="0" fontId="11" fillId="6" borderId="18" xfId="0" applyFont="1" applyFill="1" applyBorder="1" applyAlignment="1">
      <alignment horizontal="center"/>
    </xf>
    <xf numFmtId="0" fontId="11" fillId="6" borderId="18" xfId="0" applyFont="1" applyFill="1" applyBorder="1"/>
    <xf numFmtId="0" fontId="11" fillId="6" borderId="18" xfId="0" applyFont="1" applyFill="1" applyBorder="1" applyAlignment="1">
      <alignment wrapText="1"/>
    </xf>
    <xf numFmtId="165" fontId="11" fillId="6" borderId="18" xfId="1" applyNumberFormat="1" applyFont="1" applyFill="1" applyBorder="1"/>
    <xf numFmtId="164" fontId="12" fillId="6" borderId="18" xfId="1" applyFont="1" applyFill="1" applyBorder="1" applyAlignment="1">
      <alignment horizontal="center"/>
    </xf>
    <xf numFmtId="165" fontId="12" fillId="6" borderId="18" xfId="1" applyNumberFormat="1" applyFont="1" applyFill="1" applyBorder="1"/>
    <xf numFmtId="165" fontId="12" fillId="4" borderId="18" xfId="1" applyNumberFormat="1" applyFont="1" applyFill="1" applyBorder="1"/>
    <xf numFmtId="165" fontId="11" fillId="4" borderId="18" xfId="1" applyNumberFormat="1" applyFont="1" applyFill="1" applyBorder="1"/>
    <xf numFmtId="0" fontId="2" fillId="9" borderId="0" xfId="0" applyFont="1" applyFill="1"/>
    <xf numFmtId="165" fontId="9" fillId="9" borderId="8" xfId="1" applyNumberFormat="1" applyFont="1" applyFill="1" applyBorder="1"/>
    <xf numFmtId="0" fontId="2" fillId="7" borderId="8" xfId="0" applyFont="1" applyFill="1" applyBorder="1" applyAlignment="1">
      <alignment horizontal="center"/>
    </xf>
    <xf numFmtId="0" fontId="2" fillId="7" borderId="0" xfId="0" applyFont="1" applyFill="1"/>
    <xf numFmtId="165" fontId="2" fillId="7" borderId="8" xfId="1" applyNumberFormat="1" applyFont="1" applyFill="1" applyBorder="1"/>
    <xf numFmtId="165" fontId="2" fillId="7" borderId="9" xfId="1" applyNumberFormat="1" applyFont="1" applyFill="1" applyBorder="1"/>
    <xf numFmtId="0" fontId="2" fillId="7" borderId="12" xfId="0" applyFont="1" applyFill="1" applyBorder="1" applyAlignment="1">
      <alignment horizontal="center"/>
    </xf>
    <xf numFmtId="164" fontId="4" fillId="7" borderId="8" xfId="1" applyFont="1" applyFill="1" applyBorder="1" applyAlignment="1">
      <alignment horizontal="center"/>
    </xf>
    <xf numFmtId="165" fontId="9" fillId="7" borderId="8" xfId="1" applyNumberFormat="1" applyFont="1" applyFill="1" applyBorder="1"/>
    <xf numFmtId="165" fontId="9" fillId="7" borderId="9" xfId="1" applyNumberFormat="1" applyFont="1" applyFill="1" applyBorder="1"/>
    <xf numFmtId="0" fontId="2" fillId="7" borderId="14" xfId="0" applyFont="1" applyFill="1" applyBorder="1" applyAlignment="1">
      <alignment wrapText="1"/>
    </xf>
    <xf numFmtId="0" fontId="2" fillId="6" borderId="8" xfId="0" applyFont="1" applyFill="1" applyBorder="1" applyAlignment="1">
      <alignment horizontal="center"/>
    </xf>
    <xf numFmtId="0" fontId="2" fillId="7" borderId="18" xfId="0" applyFont="1" applyFill="1" applyBorder="1"/>
    <xf numFmtId="0" fontId="2" fillId="2" borderId="18" xfId="0" applyFont="1" applyFill="1" applyBorder="1"/>
    <xf numFmtId="0" fontId="2" fillId="3" borderId="18" xfId="0" applyFont="1" applyFill="1" applyBorder="1"/>
    <xf numFmtId="0" fontId="2" fillId="6" borderId="18" xfId="0" applyFont="1" applyFill="1" applyBorder="1"/>
    <xf numFmtId="0" fontId="4" fillId="6" borderId="18" xfId="0" applyFont="1" applyFill="1" applyBorder="1"/>
    <xf numFmtId="0" fontId="2" fillId="10" borderId="14" xfId="0" applyFont="1" applyFill="1" applyBorder="1" applyAlignment="1">
      <alignment wrapText="1"/>
    </xf>
    <xf numFmtId="0" fontId="2" fillId="10" borderId="0" xfId="0" applyFont="1" applyFill="1"/>
    <xf numFmtId="0" fontId="4" fillId="10" borderId="14" xfId="0" applyFont="1" applyFill="1" applyBorder="1" applyAlignment="1">
      <alignment wrapText="1"/>
    </xf>
    <xf numFmtId="0" fontId="2" fillId="2" borderId="0" xfId="0" applyFont="1" applyFill="1"/>
    <xf numFmtId="0" fontId="4" fillId="10" borderId="0" xfId="0" applyFont="1" applyFill="1"/>
    <xf numFmtId="14" fontId="2" fillId="7" borderId="12" xfId="0" applyNumberFormat="1" applyFont="1" applyFill="1" applyBorder="1"/>
    <xf numFmtId="164" fontId="2" fillId="7" borderId="8" xfId="1" applyFont="1" applyFill="1" applyBorder="1" applyAlignment="1">
      <alignment horizontal="center"/>
    </xf>
    <xf numFmtId="165" fontId="4" fillId="7" borderId="8" xfId="1" applyNumberFormat="1" applyFont="1" applyFill="1" applyBorder="1"/>
    <xf numFmtId="165" fontId="4" fillId="7" borderId="9" xfId="1" applyNumberFormat="1" applyFont="1" applyFill="1" applyBorder="1"/>
    <xf numFmtId="0" fontId="4" fillId="7" borderId="13" xfId="0" applyFont="1" applyFill="1" applyBorder="1"/>
    <xf numFmtId="0" fontId="4" fillId="7" borderId="13" xfId="0" applyFont="1" applyFill="1" applyBorder="1" applyAlignment="1">
      <alignment wrapText="1"/>
    </xf>
    <xf numFmtId="1" fontId="4" fillId="7" borderId="8" xfId="0" applyNumberFormat="1" applyFont="1" applyFill="1" applyBorder="1" applyAlignment="1">
      <alignment horizontal="center"/>
    </xf>
    <xf numFmtId="0" fontId="4" fillId="7" borderId="14" xfId="0" applyFont="1" applyFill="1" applyBorder="1" applyAlignment="1">
      <alignment wrapText="1"/>
    </xf>
    <xf numFmtId="165" fontId="0" fillId="7" borderId="8" xfId="1" applyNumberFormat="1" applyFont="1" applyFill="1" applyBorder="1"/>
    <xf numFmtId="165" fontId="0" fillId="7" borderId="9" xfId="1" applyNumberFormat="1" applyFont="1" applyFill="1" applyBorder="1"/>
    <xf numFmtId="14" fontId="4" fillId="7" borderId="12" xfId="0" applyNumberFormat="1" applyFont="1" applyFill="1" applyBorder="1"/>
    <xf numFmtId="0" fontId="2" fillId="11" borderId="8" xfId="0" applyFont="1" applyFill="1" applyBorder="1" applyAlignment="1">
      <alignment horizontal="center"/>
    </xf>
    <xf numFmtId="0" fontId="2" fillId="11" borderId="0" xfId="0" applyFont="1" applyFill="1"/>
    <xf numFmtId="165" fontId="2" fillId="11" borderId="8" xfId="1" applyNumberFormat="1" applyFont="1" applyFill="1" applyBorder="1"/>
    <xf numFmtId="165" fontId="2" fillId="11" borderId="9" xfId="1" applyNumberFormat="1" applyFont="1" applyFill="1" applyBorder="1"/>
    <xf numFmtId="164" fontId="4" fillId="11" borderId="8" xfId="1" applyFont="1" applyFill="1" applyBorder="1" applyAlignment="1">
      <alignment horizontal="center"/>
    </xf>
    <xf numFmtId="165" fontId="9" fillId="11" borderId="8" xfId="1" applyNumberFormat="1" applyFont="1" applyFill="1" applyBorder="1"/>
    <xf numFmtId="165" fontId="9" fillId="11" borderId="9" xfId="1" applyNumberFormat="1" applyFont="1" applyFill="1" applyBorder="1"/>
    <xf numFmtId="0" fontId="2" fillId="11" borderId="13" xfId="0" applyFont="1" applyFill="1" applyBorder="1"/>
    <xf numFmtId="0" fontId="2" fillId="11" borderId="13" xfId="0" applyFont="1" applyFill="1" applyBorder="1" applyAlignment="1">
      <alignment wrapText="1"/>
    </xf>
    <xf numFmtId="14" fontId="2" fillId="11" borderId="12" xfId="0" applyNumberFormat="1" applyFont="1" applyFill="1" applyBorder="1"/>
    <xf numFmtId="0" fontId="2" fillId="11" borderId="12" xfId="0" applyFont="1" applyFill="1" applyBorder="1" applyAlignment="1">
      <alignment horizontal="center"/>
    </xf>
    <xf numFmtId="0" fontId="2" fillId="11" borderId="14" xfId="0" applyFont="1" applyFill="1" applyBorder="1" applyAlignment="1">
      <alignment wrapText="1"/>
    </xf>
    <xf numFmtId="0" fontId="4" fillId="7" borderId="12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165" fontId="3" fillId="3" borderId="4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1" fontId="3" fillId="3" borderId="5" xfId="1" applyNumberFormat="1" applyFont="1" applyFill="1" applyBorder="1" applyAlignment="1">
      <alignment horizontal="center" vertical="center"/>
    </xf>
    <xf numFmtId="164" fontId="3" fillId="3" borderId="6" xfId="1" applyFont="1" applyFill="1" applyBorder="1" applyAlignment="1">
      <alignment horizontal="center" vertical="center"/>
    </xf>
    <xf numFmtId="2" fontId="3" fillId="3" borderId="5" xfId="1" applyNumberFormat="1" applyFont="1" applyFill="1" applyBorder="1" applyAlignment="1">
      <alignment horizontal="center" vertical="center"/>
    </xf>
    <xf numFmtId="165" fontId="3" fillId="3" borderId="6" xfId="1" applyNumberFormat="1" applyFont="1" applyFill="1" applyBorder="1" applyAlignment="1">
      <alignment horizontal="center" vertical="center"/>
    </xf>
    <xf numFmtId="165" fontId="3" fillId="3" borderId="5" xfId="1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5" fontId="3" fillId="3" borderId="5" xfId="1" applyNumberFormat="1" applyFont="1" applyFill="1" applyBorder="1" applyAlignment="1">
      <alignment horizontal="center" vertical="center" wrapText="1"/>
    </xf>
    <xf numFmtId="165" fontId="3" fillId="3" borderId="6" xfId="1" applyNumberFormat="1" applyFont="1" applyFill="1" applyBorder="1" applyAlignment="1">
      <alignment horizontal="center" vertical="center" wrapText="1"/>
    </xf>
    <xf numFmtId="14" fontId="2" fillId="3" borderId="5" xfId="0" applyNumberFormat="1" applyFont="1" applyFill="1" applyBorder="1"/>
    <xf numFmtId="0" fontId="2" fillId="3" borderId="6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center"/>
    </xf>
    <xf numFmtId="164" fontId="2" fillId="3" borderId="6" xfId="1" applyFont="1" applyFill="1" applyBorder="1"/>
    <xf numFmtId="0" fontId="2" fillId="6" borderId="7" xfId="0" applyFont="1" applyFill="1" applyBorder="1" applyAlignment="1">
      <alignment horizontal="center"/>
    </xf>
    <xf numFmtId="0" fontId="4" fillId="6" borderId="14" xfId="0" applyFont="1" applyFill="1" applyBorder="1"/>
    <xf numFmtId="165" fontId="2" fillId="6" borderId="7" xfId="1" applyNumberFormat="1" applyFont="1" applyFill="1" applyBorder="1"/>
    <xf numFmtId="165" fontId="2" fillId="6" borderId="19" xfId="1" applyNumberFormat="1" applyFont="1" applyFill="1" applyBorder="1"/>
    <xf numFmtId="14" fontId="2" fillId="6" borderId="15" xfId="0" applyNumberFormat="1" applyFont="1" applyFill="1" applyBorder="1"/>
    <xf numFmtId="0" fontId="2" fillId="6" borderId="15" xfId="0" applyFont="1" applyFill="1" applyBorder="1" applyAlignment="1">
      <alignment horizontal="center"/>
    </xf>
    <xf numFmtId="164" fontId="4" fillId="6" borderId="7" xfId="1" applyFont="1" applyFill="1" applyBorder="1" applyAlignment="1">
      <alignment horizontal="center"/>
    </xf>
    <xf numFmtId="165" fontId="9" fillId="6" borderId="7" xfId="1" applyNumberFormat="1" applyFont="1" applyFill="1" applyBorder="1"/>
    <xf numFmtId="165" fontId="9" fillId="6" borderId="19" xfId="1" applyNumberFormat="1" applyFont="1" applyFill="1" applyBorder="1"/>
    <xf numFmtId="0" fontId="2" fillId="10" borderId="7" xfId="0" applyFont="1" applyFill="1" applyBorder="1" applyAlignment="1">
      <alignment horizontal="center"/>
    </xf>
    <xf numFmtId="0" fontId="4" fillId="10" borderId="14" xfId="0" applyFont="1" applyFill="1" applyBorder="1"/>
    <xf numFmtId="165" fontId="2" fillId="10" borderId="7" xfId="1" applyNumberFormat="1" applyFont="1" applyFill="1" applyBorder="1"/>
    <xf numFmtId="165" fontId="2" fillId="10" borderId="19" xfId="1" applyNumberFormat="1" applyFont="1" applyFill="1" applyBorder="1"/>
    <xf numFmtId="14" fontId="2" fillId="10" borderId="15" xfId="0" quotePrefix="1" applyNumberFormat="1" applyFont="1" applyFill="1" applyBorder="1"/>
    <xf numFmtId="0" fontId="2" fillId="10" borderId="15" xfId="0" applyFont="1" applyFill="1" applyBorder="1" applyAlignment="1">
      <alignment horizontal="center"/>
    </xf>
    <xf numFmtId="164" fontId="4" fillId="10" borderId="7" xfId="1" applyFont="1" applyFill="1" applyBorder="1" applyAlignment="1">
      <alignment horizontal="center"/>
    </xf>
    <xf numFmtId="165" fontId="9" fillId="10" borderId="7" xfId="1" applyNumberFormat="1" applyFont="1" applyFill="1" applyBorder="1"/>
    <xf numFmtId="165" fontId="9" fillId="10" borderId="19" xfId="1" applyNumberFormat="1" applyFont="1" applyFill="1" applyBorder="1"/>
    <xf numFmtId="0" fontId="2" fillId="6" borderId="14" xfId="0" applyFont="1" applyFill="1" applyBorder="1"/>
    <xf numFmtId="0" fontId="2" fillId="7" borderId="7" xfId="0" applyFont="1" applyFill="1" applyBorder="1" applyAlignment="1">
      <alignment horizontal="center"/>
    </xf>
    <xf numFmtId="0" fontId="2" fillId="7" borderId="14" xfId="0" applyFont="1" applyFill="1" applyBorder="1"/>
    <xf numFmtId="165" fontId="2" fillId="7" borderId="7" xfId="1" applyNumberFormat="1" applyFont="1" applyFill="1" applyBorder="1"/>
    <xf numFmtId="165" fontId="2" fillId="7" borderId="19" xfId="1" applyNumberFormat="1" applyFont="1" applyFill="1" applyBorder="1"/>
    <xf numFmtId="0" fontId="2" fillId="7" borderId="15" xfId="0" applyFont="1" applyFill="1" applyBorder="1" applyAlignment="1">
      <alignment horizontal="center"/>
    </xf>
    <xf numFmtId="164" fontId="4" fillId="7" borderId="7" xfId="1" applyFont="1" applyFill="1" applyBorder="1" applyAlignment="1">
      <alignment horizontal="center"/>
    </xf>
    <xf numFmtId="165" fontId="9" fillId="7" borderId="7" xfId="1" applyNumberFormat="1" applyFont="1" applyFill="1" applyBorder="1"/>
    <xf numFmtId="165" fontId="9" fillId="7" borderId="19" xfId="1" applyNumberFormat="1" applyFont="1" applyFill="1" applyBorder="1"/>
    <xf numFmtId="0" fontId="2" fillId="10" borderId="14" xfId="0" applyFont="1" applyFill="1" applyBorder="1"/>
    <xf numFmtId="14" fontId="2" fillId="10" borderId="15" xfId="0" applyNumberFormat="1" applyFont="1" applyFill="1" applyBorder="1"/>
    <xf numFmtId="1" fontId="4" fillId="6" borderId="7" xfId="0" applyNumberFormat="1" applyFont="1" applyFill="1" applyBorder="1" applyAlignment="1">
      <alignment horizontal="center"/>
    </xf>
    <xf numFmtId="1" fontId="4" fillId="10" borderId="7" xfId="0" applyNumberFormat="1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18" xfId="0" applyFont="1" applyFill="1" applyBorder="1" applyAlignment="1">
      <alignment wrapText="1"/>
    </xf>
    <xf numFmtId="165" fontId="2" fillId="6" borderId="18" xfId="1" applyNumberFormat="1" applyFont="1" applyFill="1" applyBorder="1"/>
    <xf numFmtId="14" fontId="2" fillId="6" borderId="18" xfId="0" applyNumberFormat="1" applyFont="1" applyFill="1" applyBorder="1"/>
    <xf numFmtId="164" fontId="2" fillId="6" borderId="18" xfId="1" applyFont="1" applyFill="1" applyBorder="1" applyAlignment="1">
      <alignment horizontal="center"/>
    </xf>
    <xf numFmtId="0" fontId="4" fillId="6" borderId="18" xfId="0" applyFont="1" applyFill="1" applyBorder="1" applyAlignment="1">
      <alignment wrapText="1"/>
    </xf>
    <xf numFmtId="165" fontId="4" fillId="6" borderId="18" xfId="1" applyNumberFormat="1" applyFont="1" applyFill="1" applyBorder="1"/>
    <xf numFmtId="164" fontId="4" fillId="6" borderId="18" xfId="1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18" xfId="0" applyFont="1" applyBorder="1"/>
    <xf numFmtId="0" fontId="4" fillId="0" borderId="18" xfId="0" applyFont="1" applyBorder="1" applyAlignment="1">
      <alignment wrapText="1"/>
    </xf>
    <xf numFmtId="165" fontId="4" fillId="0" borderId="18" xfId="1" applyNumberFormat="1" applyFont="1" applyFill="1" applyBorder="1"/>
    <xf numFmtId="14" fontId="10" fillId="0" borderId="18" xfId="0" applyNumberFormat="1" applyFont="1" applyBorder="1"/>
    <xf numFmtId="0" fontId="4" fillId="0" borderId="18" xfId="0" applyFont="1" applyBorder="1" applyAlignment="1">
      <alignment horizontal="center"/>
    </xf>
    <xf numFmtId="164" fontId="4" fillId="0" borderId="18" xfId="1" applyFont="1" applyFill="1" applyBorder="1" applyAlignment="1">
      <alignment horizontal="center"/>
    </xf>
    <xf numFmtId="0" fontId="2" fillId="0" borderId="18" xfId="0" applyFont="1" applyBorder="1"/>
    <xf numFmtId="0" fontId="2" fillId="3" borderId="18" xfId="0" applyFont="1" applyFill="1" applyBorder="1" applyAlignment="1">
      <alignment horizontal="center"/>
    </xf>
    <xf numFmtId="0" fontId="2" fillId="3" borderId="18" xfId="0" applyFont="1" applyFill="1" applyBorder="1" applyAlignment="1">
      <alignment wrapText="1"/>
    </xf>
    <xf numFmtId="165" fontId="3" fillId="3" borderId="18" xfId="1" applyNumberFormat="1" applyFont="1" applyFill="1" applyBorder="1"/>
    <xf numFmtId="165" fontId="3" fillId="3" borderId="18" xfId="0" applyNumberFormat="1" applyFont="1" applyFill="1" applyBorder="1"/>
    <xf numFmtId="14" fontId="2" fillId="3" borderId="18" xfId="0" applyNumberFormat="1" applyFont="1" applyFill="1" applyBorder="1"/>
    <xf numFmtId="164" fontId="3" fillId="3" borderId="18" xfId="1" applyFont="1" applyFill="1" applyBorder="1"/>
    <xf numFmtId="0" fontId="2" fillId="12" borderId="8" xfId="0" applyFont="1" applyFill="1" applyBorder="1" applyAlignment="1">
      <alignment horizontal="center"/>
    </xf>
    <xf numFmtId="0" fontId="2" fillId="12" borderId="9" xfId="0" applyFont="1" applyFill="1" applyBorder="1" applyAlignment="1">
      <alignment wrapText="1"/>
    </xf>
    <xf numFmtId="165" fontId="2" fillId="12" borderId="8" xfId="1" applyNumberFormat="1" applyFont="1" applyFill="1" applyBorder="1"/>
    <xf numFmtId="165" fontId="2" fillId="12" borderId="9" xfId="1" applyNumberFormat="1" applyFont="1" applyFill="1" applyBorder="1"/>
    <xf numFmtId="164" fontId="4" fillId="12" borderId="8" xfId="1" applyFont="1" applyFill="1" applyBorder="1" applyAlignment="1">
      <alignment horizontal="center"/>
    </xf>
    <xf numFmtId="165" fontId="9" fillId="12" borderId="8" xfId="1" applyNumberFormat="1" applyFont="1" applyFill="1" applyBorder="1"/>
    <xf numFmtId="165" fontId="9" fillId="12" borderId="9" xfId="1" applyNumberFormat="1" applyFont="1" applyFill="1" applyBorder="1"/>
    <xf numFmtId="0" fontId="2" fillId="12" borderId="18" xfId="0" applyFont="1" applyFill="1" applyBorder="1"/>
    <xf numFmtId="0" fontId="2" fillId="12" borderId="7" xfId="0" applyFont="1" applyFill="1" applyBorder="1" applyAlignment="1">
      <alignment horizontal="center"/>
    </xf>
    <xf numFmtId="0" fontId="2" fillId="12" borderId="19" xfId="0" applyFont="1" applyFill="1" applyBorder="1"/>
    <xf numFmtId="0" fontId="2" fillId="12" borderId="19" xfId="0" applyFont="1" applyFill="1" applyBorder="1" applyAlignment="1">
      <alignment wrapText="1"/>
    </xf>
    <xf numFmtId="165" fontId="2" fillId="12" borderId="7" xfId="1" applyNumberFormat="1" applyFont="1" applyFill="1" applyBorder="1"/>
    <xf numFmtId="165" fontId="2" fillId="12" borderId="19" xfId="1" applyNumberFormat="1" applyFont="1" applyFill="1" applyBorder="1"/>
    <xf numFmtId="14" fontId="2" fillId="12" borderId="7" xfId="0" applyNumberFormat="1" applyFont="1" applyFill="1" applyBorder="1"/>
    <xf numFmtId="164" fontId="4" fillId="12" borderId="7" xfId="1" applyFont="1" applyFill="1" applyBorder="1" applyAlignment="1">
      <alignment horizontal="center"/>
    </xf>
    <xf numFmtId="165" fontId="9" fillId="12" borderId="7" xfId="1" applyNumberFormat="1" applyFont="1" applyFill="1" applyBorder="1"/>
    <xf numFmtId="165" fontId="9" fillId="12" borderId="19" xfId="1" applyNumberFormat="1" applyFont="1" applyFill="1" applyBorder="1"/>
    <xf numFmtId="0" fontId="2" fillId="12" borderId="18" xfId="0" applyFont="1" applyFill="1" applyBorder="1" applyAlignment="1">
      <alignment horizontal="center"/>
    </xf>
    <xf numFmtId="165" fontId="2" fillId="12" borderId="18" xfId="1" applyNumberFormat="1" applyFont="1" applyFill="1" applyBorder="1"/>
    <xf numFmtId="14" fontId="2" fillId="12" borderId="18" xfId="0" applyNumberFormat="1" applyFont="1" applyFill="1" applyBorder="1"/>
    <xf numFmtId="164" fontId="4" fillId="12" borderId="18" xfId="1" applyFont="1" applyFill="1" applyBorder="1" applyAlignment="1">
      <alignment horizontal="center"/>
    </xf>
    <xf numFmtId="165" fontId="9" fillId="12" borderId="18" xfId="1" applyNumberFormat="1" applyFont="1" applyFill="1" applyBorder="1"/>
    <xf numFmtId="0" fontId="2" fillId="12" borderId="13" xfId="0" applyFont="1" applyFill="1" applyBorder="1"/>
    <xf numFmtId="0" fontId="2" fillId="12" borderId="13" xfId="0" applyFont="1" applyFill="1" applyBorder="1" applyAlignment="1">
      <alignment wrapText="1"/>
    </xf>
    <xf numFmtId="14" fontId="2" fillId="12" borderId="12" xfId="0" applyNumberFormat="1" applyFont="1" applyFill="1" applyBorder="1"/>
    <xf numFmtId="0" fontId="2" fillId="12" borderId="12" xfId="0" applyFont="1" applyFill="1" applyBorder="1" applyAlignment="1">
      <alignment horizontal="center"/>
    </xf>
    <xf numFmtId="0" fontId="2" fillId="12" borderId="14" xfId="0" applyFont="1" applyFill="1" applyBorder="1"/>
    <xf numFmtId="0" fontId="2" fillId="12" borderId="14" xfId="0" applyFont="1" applyFill="1" applyBorder="1" applyAlignment="1">
      <alignment wrapText="1"/>
    </xf>
    <xf numFmtId="14" fontId="2" fillId="12" borderId="15" xfId="0" applyNumberFormat="1" applyFont="1" applyFill="1" applyBorder="1"/>
    <xf numFmtId="0" fontId="2" fillId="12" borderId="15" xfId="0" applyFont="1" applyFill="1" applyBorder="1" applyAlignment="1">
      <alignment horizontal="center"/>
    </xf>
    <xf numFmtId="0" fontId="2" fillId="12" borderId="18" xfId="0" applyFont="1" applyFill="1" applyBorder="1" applyAlignment="1">
      <alignment wrapText="1"/>
    </xf>
    <xf numFmtId="0" fontId="4" fillId="12" borderId="13" xfId="0" applyFont="1" applyFill="1" applyBorder="1"/>
    <xf numFmtId="0" fontId="4" fillId="12" borderId="13" xfId="0" applyFont="1" applyFill="1" applyBorder="1" applyAlignment="1">
      <alignment wrapText="1"/>
    </xf>
    <xf numFmtId="14" fontId="2" fillId="7" borderId="15" xfId="0" applyNumberFormat="1" applyFont="1" applyFill="1" applyBorder="1"/>
    <xf numFmtId="165" fontId="4" fillId="12" borderId="8" xfId="1" applyNumberFormat="1" applyFont="1" applyFill="1" applyBorder="1"/>
    <xf numFmtId="165" fontId="4" fillId="12" borderId="7" xfId="1" applyNumberFormat="1" applyFont="1" applyFill="1" applyBorder="1"/>
    <xf numFmtId="165" fontId="4" fillId="12" borderId="19" xfId="1" applyNumberFormat="1" applyFont="1" applyFill="1" applyBorder="1"/>
    <xf numFmtId="1" fontId="4" fillId="12" borderId="8" xfId="0" applyNumberFormat="1" applyFont="1" applyFill="1" applyBorder="1" applyAlignment="1">
      <alignment horizontal="center"/>
    </xf>
    <xf numFmtId="14" fontId="4" fillId="12" borderId="12" xfId="0" applyNumberFormat="1" applyFont="1" applyFill="1" applyBorder="1"/>
    <xf numFmtId="0" fontId="2" fillId="13" borderId="18" xfId="0" applyFont="1" applyFill="1" applyBorder="1" applyAlignment="1">
      <alignment horizontal="center"/>
    </xf>
    <xf numFmtId="0" fontId="2" fillId="13" borderId="18" xfId="0" applyFont="1" applyFill="1" applyBorder="1"/>
    <xf numFmtId="0" fontId="2" fillId="13" borderId="18" xfId="0" applyFont="1" applyFill="1" applyBorder="1" applyAlignment="1">
      <alignment wrapText="1"/>
    </xf>
    <xf numFmtId="165" fontId="2" fillId="13" borderId="18" xfId="1" applyNumberFormat="1" applyFont="1" applyFill="1" applyBorder="1"/>
    <xf numFmtId="164" fontId="4" fillId="13" borderId="18" xfId="1" applyFont="1" applyFill="1" applyBorder="1" applyAlignment="1">
      <alignment horizontal="center"/>
    </xf>
    <xf numFmtId="165" fontId="9" fillId="13" borderId="18" xfId="1" applyNumberFormat="1" applyFont="1" applyFill="1" applyBorder="1"/>
    <xf numFmtId="14" fontId="2" fillId="13" borderId="18" xfId="0" applyNumberFormat="1" applyFont="1" applyFill="1" applyBorder="1"/>
    <xf numFmtId="165" fontId="4" fillId="13" borderId="18" xfId="1" applyNumberFormat="1" applyFont="1" applyFill="1" applyBorder="1"/>
    <xf numFmtId="164" fontId="2" fillId="13" borderId="18" xfId="1" applyFont="1" applyFill="1" applyBorder="1" applyAlignment="1">
      <alignment horizontal="center"/>
    </xf>
    <xf numFmtId="14" fontId="2" fillId="13" borderId="18" xfId="0" applyNumberFormat="1" applyFont="1" applyFill="1" applyBorder="1" applyAlignment="1">
      <alignment wrapText="1"/>
    </xf>
    <xf numFmtId="0" fontId="2" fillId="7" borderId="18" xfId="0" applyFont="1" applyFill="1" applyBorder="1" applyAlignment="1">
      <alignment horizontal="center"/>
    </xf>
    <xf numFmtId="0" fontId="2" fillId="7" borderId="18" xfId="0" applyFont="1" applyFill="1" applyBorder="1" applyAlignment="1">
      <alignment wrapText="1"/>
    </xf>
    <xf numFmtId="165" fontId="2" fillId="7" borderId="18" xfId="1" applyNumberFormat="1" applyFont="1" applyFill="1" applyBorder="1"/>
    <xf numFmtId="14" fontId="2" fillId="7" borderId="18" xfId="0" applyNumberFormat="1" applyFont="1" applyFill="1" applyBorder="1"/>
    <xf numFmtId="164" fontId="4" fillId="7" borderId="18" xfId="1" applyFont="1" applyFill="1" applyBorder="1" applyAlignment="1">
      <alignment horizontal="center"/>
    </xf>
    <xf numFmtId="165" fontId="4" fillId="7" borderId="18" xfId="1" applyNumberFormat="1" applyFont="1" applyFill="1" applyBorder="1"/>
    <xf numFmtId="0" fontId="2" fillId="0" borderId="2" xfId="0" applyFont="1" applyBorder="1"/>
    <xf numFmtId="0" fontId="2" fillId="0" borderId="0" xfId="0" applyFont="1" applyAlignment="1">
      <alignment horizontal="left"/>
    </xf>
    <xf numFmtId="14" fontId="3" fillId="3" borderId="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/>
    </xf>
    <xf numFmtId="14" fontId="2" fillId="13" borderId="18" xfId="0" applyNumberFormat="1" applyFont="1" applyFill="1" applyBorder="1" applyAlignment="1">
      <alignment horizontal="left"/>
    </xf>
    <xf numFmtId="14" fontId="2" fillId="12" borderId="19" xfId="0" applyNumberFormat="1" applyFont="1" applyFill="1" applyBorder="1" applyAlignment="1">
      <alignment horizontal="left"/>
    </xf>
    <xf numFmtId="14" fontId="2" fillId="12" borderId="18" xfId="0" applyNumberFormat="1" applyFont="1" applyFill="1" applyBorder="1" applyAlignment="1">
      <alignment horizontal="left"/>
    </xf>
    <xf numFmtId="14" fontId="2" fillId="12" borderId="14" xfId="0" applyNumberFormat="1" applyFont="1" applyFill="1" applyBorder="1" applyAlignment="1">
      <alignment horizontal="left"/>
    </xf>
    <xf numFmtId="14" fontId="2" fillId="12" borderId="13" xfId="0" applyNumberFormat="1" applyFont="1" applyFill="1" applyBorder="1" applyAlignment="1">
      <alignment horizontal="left"/>
    </xf>
    <xf numFmtId="14" fontId="2" fillId="6" borderId="14" xfId="0" applyNumberFormat="1" applyFont="1" applyFill="1" applyBorder="1" applyAlignment="1">
      <alignment horizontal="left"/>
    </xf>
    <xf numFmtId="14" fontId="2" fillId="10" borderId="14" xfId="0" applyNumberFormat="1" applyFont="1" applyFill="1" applyBorder="1" applyAlignment="1">
      <alignment horizontal="left"/>
    </xf>
    <xf numFmtId="14" fontId="2" fillId="6" borderId="13" xfId="0" applyNumberFormat="1" applyFont="1" applyFill="1" applyBorder="1" applyAlignment="1">
      <alignment horizontal="left"/>
    </xf>
    <xf numFmtId="14" fontId="2" fillId="7" borderId="13" xfId="0" applyNumberFormat="1" applyFont="1" applyFill="1" applyBorder="1" applyAlignment="1">
      <alignment horizontal="left"/>
    </xf>
    <xf numFmtId="14" fontId="2" fillId="6" borderId="18" xfId="0" applyNumberFormat="1" applyFont="1" applyFill="1" applyBorder="1" applyAlignment="1">
      <alignment horizontal="left"/>
    </xf>
    <xf numFmtId="14" fontId="4" fillId="12" borderId="9" xfId="0" applyNumberFormat="1" applyFont="1" applyFill="1" applyBorder="1" applyAlignment="1">
      <alignment horizontal="left"/>
    </xf>
    <xf numFmtId="14" fontId="2" fillId="11" borderId="13" xfId="0" applyNumberFormat="1" applyFont="1" applyFill="1" applyBorder="1" applyAlignment="1">
      <alignment horizontal="left"/>
    </xf>
    <xf numFmtId="14" fontId="4" fillId="7" borderId="13" xfId="0" applyNumberFormat="1" applyFont="1" applyFill="1" applyBorder="1" applyAlignment="1">
      <alignment horizontal="left"/>
    </xf>
    <xf numFmtId="14" fontId="4" fillId="6" borderId="13" xfId="0" applyNumberFormat="1" applyFont="1" applyFill="1" applyBorder="1" applyAlignment="1">
      <alignment horizontal="left"/>
    </xf>
    <xf numFmtId="14" fontId="10" fillId="0" borderId="18" xfId="0" applyNumberFormat="1" applyFont="1" applyBorder="1" applyAlignment="1">
      <alignment horizontal="left"/>
    </xf>
    <xf numFmtId="14" fontId="2" fillId="7" borderId="14" xfId="0" applyNumberFormat="1" applyFont="1" applyFill="1" applyBorder="1" applyAlignment="1">
      <alignment horizontal="left"/>
    </xf>
    <xf numFmtId="14" fontId="2" fillId="7" borderId="18" xfId="0" applyNumberFormat="1" applyFont="1" applyFill="1" applyBorder="1" applyAlignment="1">
      <alignment horizontal="left"/>
    </xf>
    <xf numFmtId="164" fontId="4" fillId="12" borderId="7" xfId="1" applyFont="1" applyFill="1" applyBorder="1" applyAlignment="1">
      <alignment horizontal="left"/>
    </xf>
    <xf numFmtId="14" fontId="2" fillId="0" borderId="13" xfId="0" applyNumberFormat="1" applyFont="1" applyBorder="1" applyAlignment="1">
      <alignment horizontal="left"/>
    </xf>
    <xf numFmtId="14" fontId="4" fillId="12" borderId="13" xfId="0" applyNumberFormat="1" applyFont="1" applyFill="1" applyBorder="1" applyAlignment="1">
      <alignment horizontal="left"/>
    </xf>
    <xf numFmtId="0" fontId="2" fillId="3" borderId="18" xfId="0" applyFont="1" applyFill="1" applyBorder="1" applyAlignment="1">
      <alignment horizontal="left"/>
    </xf>
    <xf numFmtId="14" fontId="4" fillId="13" borderId="18" xfId="0" applyNumberFormat="1" applyFont="1" applyFill="1" applyBorder="1" applyAlignment="1">
      <alignment horizontal="left"/>
    </xf>
    <xf numFmtId="14" fontId="4" fillId="12" borderId="19" xfId="0" applyNumberFormat="1" applyFont="1" applyFill="1" applyBorder="1" applyAlignment="1">
      <alignment horizontal="left"/>
    </xf>
    <xf numFmtId="14" fontId="4" fillId="12" borderId="18" xfId="0" applyNumberFormat="1" applyFont="1" applyFill="1" applyBorder="1" applyAlignment="1">
      <alignment horizontal="left"/>
    </xf>
    <xf numFmtId="14" fontId="4" fillId="6" borderId="19" xfId="0" applyNumberFormat="1" applyFont="1" applyFill="1" applyBorder="1" applyAlignment="1">
      <alignment horizontal="left"/>
    </xf>
    <xf numFmtId="14" fontId="4" fillId="10" borderId="19" xfId="0" applyNumberFormat="1" applyFont="1" applyFill="1" applyBorder="1" applyAlignment="1">
      <alignment horizontal="left"/>
    </xf>
    <xf numFmtId="14" fontId="4" fillId="6" borderId="9" xfId="0" applyNumberFormat="1" applyFont="1" applyFill="1" applyBorder="1" applyAlignment="1">
      <alignment horizontal="left"/>
    </xf>
    <xf numFmtId="14" fontId="4" fillId="7" borderId="9" xfId="0" applyNumberFormat="1" applyFont="1" applyFill="1" applyBorder="1" applyAlignment="1">
      <alignment horizontal="left"/>
    </xf>
    <xf numFmtId="14" fontId="4" fillId="6" borderId="18" xfId="0" applyNumberFormat="1" applyFont="1" applyFill="1" applyBorder="1" applyAlignment="1">
      <alignment horizontal="left"/>
    </xf>
    <xf numFmtId="14" fontId="4" fillId="11" borderId="9" xfId="0" applyNumberFormat="1" applyFont="1" applyFill="1" applyBorder="1" applyAlignment="1">
      <alignment horizontal="left"/>
    </xf>
    <xf numFmtId="14" fontId="4" fillId="7" borderId="19" xfId="0" applyNumberFormat="1" applyFont="1" applyFill="1" applyBorder="1" applyAlignment="1">
      <alignment horizontal="left"/>
    </xf>
    <xf numFmtId="14" fontId="4" fillId="7" borderId="18" xfId="0" applyNumberFormat="1" applyFont="1" applyFill="1" applyBorder="1" applyAlignment="1">
      <alignment horizontal="left"/>
    </xf>
    <xf numFmtId="14" fontId="4" fillId="0" borderId="9" xfId="0" applyNumberFormat="1" applyFont="1" applyBorder="1" applyAlignment="1">
      <alignment horizontal="left"/>
    </xf>
    <xf numFmtId="14" fontId="3" fillId="2" borderId="5" xfId="0" applyNumberFormat="1" applyFont="1" applyFill="1" applyBorder="1" applyAlignment="1">
      <alignment horizontal="left" wrapText="1"/>
    </xf>
    <xf numFmtId="14" fontId="3" fillId="3" borderId="5" xfId="0" applyNumberFormat="1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/>
    </xf>
    <xf numFmtId="14" fontId="4" fillId="12" borderId="8" xfId="0" applyNumberFormat="1" applyFont="1" applyFill="1" applyBorder="1" applyAlignment="1">
      <alignment horizontal="left"/>
    </xf>
    <xf numFmtId="14" fontId="4" fillId="12" borderId="7" xfId="0" applyNumberFormat="1" applyFont="1" applyFill="1" applyBorder="1" applyAlignment="1">
      <alignment horizontal="left"/>
    </xf>
    <xf numFmtId="14" fontId="4" fillId="6" borderId="7" xfId="0" applyNumberFormat="1" applyFont="1" applyFill="1" applyBorder="1" applyAlignment="1">
      <alignment horizontal="left"/>
    </xf>
    <xf numFmtId="14" fontId="4" fillId="10" borderId="7" xfId="0" quotePrefix="1" applyNumberFormat="1" applyFont="1" applyFill="1" applyBorder="1" applyAlignment="1">
      <alignment horizontal="left"/>
    </xf>
    <xf numFmtId="14" fontId="4" fillId="6" borderId="8" xfId="0" applyNumberFormat="1" applyFont="1" applyFill="1" applyBorder="1" applyAlignment="1">
      <alignment horizontal="left"/>
    </xf>
    <xf numFmtId="14" fontId="4" fillId="7" borderId="8" xfId="0" applyNumberFormat="1" applyFont="1" applyFill="1" applyBorder="1" applyAlignment="1">
      <alignment horizontal="left"/>
    </xf>
    <xf numFmtId="14" fontId="4" fillId="11" borderId="8" xfId="0" applyNumberFormat="1" applyFont="1" applyFill="1" applyBorder="1" applyAlignment="1">
      <alignment horizontal="left"/>
    </xf>
    <xf numFmtId="14" fontId="4" fillId="10" borderId="7" xfId="0" applyNumberFormat="1" applyFont="1" applyFill="1" applyBorder="1" applyAlignment="1">
      <alignment horizontal="left"/>
    </xf>
    <xf numFmtId="14" fontId="4" fillId="7" borderId="7" xfId="0" applyNumberFormat="1" applyFont="1" applyFill="1" applyBorder="1" applyAlignment="1">
      <alignment horizontal="left"/>
    </xf>
    <xf numFmtId="165" fontId="4" fillId="12" borderId="7" xfId="1" applyNumberFormat="1" applyFont="1" applyFill="1" applyBorder="1" applyAlignment="1">
      <alignment horizontal="left"/>
    </xf>
    <xf numFmtId="14" fontId="4" fillId="0" borderId="8" xfId="0" applyNumberFormat="1" applyFont="1" applyBorder="1" applyAlignment="1">
      <alignment horizontal="left"/>
    </xf>
    <xf numFmtId="0" fontId="4" fillId="6" borderId="19" xfId="0" applyFont="1" applyFill="1" applyBorder="1" applyAlignment="1">
      <alignment wrapText="1"/>
    </xf>
    <xf numFmtId="0" fontId="4" fillId="12" borderId="9" xfId="0" applyFont="1" applyFill="1" applyBorder="1" applyAlignment="1">
      <alignment wrapText="1"/>
    </xf>
    <xf numFmtId="0" fontId="4" fillId="10" borderId="19" xfId="0" applyFont="1" applyFill="1" applyBorder="1" applyAlignment="1">
      <alignment wrapText="1"/>
    </xf>
    <xf numFmtId="0" fontId="2" fillId="6" borderId="9" xfId="0" applyFont="1" applyFill="1" applyBorder="1" applyAlignment="1">
      <alignment wrapText="1"/>
    </xf>
    <xf numFmtId="0" fontId="2" fillId="7" borderId="9" xfId="0" applyFont="1" applyFill="1" applyBorder="1" applyAlignment="1">
      <alignment wrapText="1"/>
    </xf>
    <xf numFmtId="0" fontId="2" fillId="6" borderId="19" xfId="0" applyFont="1" applyFill="1" applyBorder="1" applyAlignment="1">
      <alignment wrapText="1"/>
    </xf>
    <xf numFmtId="0" fontId="2" fillId="7" borderId="19" xfId="0" applyFont="1" applyFill="1" applyBorder="1" applyAlignment="1">
      <alignment wrapText="1"/>
    </xf>
    <xf numFmtId="0" fontId="2" fillId="11" borderId="9" xfId="0" applyFont="1" applyFill="1" applyBorder="1" applyAlignment="1">
      <alignment wrapText="1"/>
    </xf>
    <xf numFmtId="0" fontId="2" fillId="11" borderId="19" xfId="0" applyFont="1" applyFill="1" applyBorder="1" applyAlignment="1">
      <alignment wrapText="1"/>
    </xf>
    <xf numFmtId="0" fontId="2" fillId="10" borderId="19" xfId="0" applyFont="1" applyFill="1" applyBorder="1" applyAlignment="1">
      <alignment wrapText="1"/>
    </xf>
    <xf numFmtId="0" fontId="4" fillId="7" borderId="19" xfId="0" applyFont="1" applyFill="1" applyBorder="1" applyAlignment="1">
      <alignment wrapText="1"/>
    </xf>
    <xf numFmtId="0" fontId="4" fillId="7" borderId="9" xfId="0" applyFont="1" applyFill="1" applyBorder="1" applyAlignment="1">
      <alignment wrapText="1"/>
    </xf>
    <xf numFmtId="0" fontId="4" fillId="6" borderId="9" xfId="0" applyFont="1" applyFill="1" applyBorder="1" applyAlignment="1">
      <alignment wrapText="1"/>
    </xf>
    <xf numFmtId="0" fontId="2" fillId="0" borderId="18" xfId="0" applyFont="1" applyBorder="1" applyAlignment="1">
      <alignment wrapText="1"/>
    </xf>
    <xf numFmtId="165" fontId="2" fillId="0" borderId="18" xfId="1" applyNumberFormat="1" applyFont="1" applyFill="1" applyBorder="1"/>
    <xf numFmtId="14" fontId="2" fillId="0" borderId="18" xfId="0" quotePrefix="1" applyNumberFormat="1" applyFont="1" applyBorder="1"/>
    <xf numFmtId="14" fontId="2" fillId="0" borderId="18" xfId="0" quotePrefix="1" applyNumberFormat="1" applyFont="1" applyBorder="1" applyAlignment="1">
      <alignment horizontal="left"/>
    </xf>
    <xf numFmtId="14" fontId="4" fillId="0" borderId="18" xfId="0" applyNumberFormat="1" applyFont="1" applyBorder="1" applyAlignment="1">
      <alignment horizontal="left"/>
    </xf>
    <xf numFmtId="14" fontId="4" fillId="0" borderId="18" xfId="0" quotePrefix="1" applyNumberFormat="1" applyFont="1" applyBorder="1" applyAlignment="1">
      <alignment horizontal="left"/>
    </xf>
    <xf numFmtId="165" fontId="9" fillId="0" borderId="18" xfId="1" applyNumberFormat="1" applyFont="1" applyFill="1" applyBorder="1"/>
    <xf numFmtId="14" fontId="2" fillId="0" borderId="18" xfId="0" applyNumberFormat="1" applyFont="1" applyBorder="1" applyAlignment="1">
      <alignment horizontal="left"/>
    </xf>
    <xf numFmtId="14" fontId="2" fillId="0" borderId="8" xfId="0" quotePrefix="1" applyNumberFormat="1" applyFont="1" applyBorder="1"/>
    <xf numFmtId="14" fontId="2" fillId="0" borderId="9" xfId="0" applyNumberFormat="1" applyFont="1" applyBorder="1" applyAlignment="1">
      <alignment horizontal="left"/>
    </xf>
    <xf numFmtId="164" fontId="4" fillId="0" borderId="8" xfId="1" applyFont="1" applyFill="1" applyBorder="1" applyAlignment="1">
      <alignment horizontal="center"/>
    </xf>
    <xf numFmtId="165" fontId="9" fillId="0" borderId="9" xfId="1" applyNumberFormat="1" applyFont="1" applyFill="1" applyBorder="1"/>
    <xf numFmtId="14" fontId="2" fillId="0" borderId="8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19" xfId="0" applyFont="1" applyBorder="1"/>
    <xf numFmtId="0" fontId="2" fillId="0" borderId="19" xfId="0" applyFont="1" applyBorder="1" applyAlignment="1">
      <alignment wrapText="1"/>
    </xf>
    <xf numFmtId="165" fontId="2" fillId="0" borderId="7" xfId="1" applyNumberFormat="1" applyFont="1" applyFill="1" applyBorder="1"/>
    <xf numFmtId="165" fontId="2" fillId="0" borderId="19" xfId="1" applyNumberFormat="1" applyFont="1" applyFill="1" applyBorder="1"/>
    <xf numFmtId="14" fontId="2" fillId="0" borderId="7" xfId="0" applyNumberFormat="1" applyFont="1" applyBorder="1"/>
    <xf numFmtId="14" fontId="2" fillId="0" borderId="19" xfId="0" applyNumberFormat="1" applyFont="1" applyBorder="1" applyAlignment="1">
      <alignment horizontal="left"/>
    </xf>
    <xf numFmtId="14" fontId="4" fillId="0" borderId="19" xfId="0" applyNumberFormat="1" applyFont="1" applyBorder="1" applyAlignment="1">
      <alignment horizontal="left"/>
    </xf>
    <xf numFmtId="14" fontId="4" fillId="0" borderId="7" xfId="0" applyNumberFormat="1" applyFont="1" applyBorder="1" applyAlignment="1">
      <alignment horizontal="left"/>
    </xf>
    <xf numFmtId="164" fontId="4" fillId="0" borderId="7" xfId="1" applyFont="1" applyFill="1" applyBorder="1" applyAlignment="1">
      <alignment horizontal="center"/>
    </xf>
    <xf numFmtId="165" fontId="9" fillId="0" borderId="7" xfId="1" applyNumberFormat="1" applyFont="1" applyFill="1" applyBorder="1"/>
    <xf numFmtId="165" fontId="9" fillId="0" borderId="19" xfId="1" applyNumberFormat="1" applyFont="1" applyFill="1" applyBorder="1"/>
    <xf numFmtId="14" fontId="2" fillId="0" borderId="18" xfId="0" applyNumberFormat="1" applyFont="1" applyBorder="1"/>
    <xf numFmtId="164" fontId="2" fillId="0" borderId="18" xfId="1" applyFont="1" applyFill="1" applyBorder="1" applyAlignment="1">
      <alignment horizontal="center"/>
    </xf>
    <xf numFmtId="0" fontId="2" fillId="0" borderId="14" xfId="0" applyFont="1" applyBorder="1"/>
    <xf numFmtId="14" fontId="2" fillId="0" borderId="15" xfId="0" applyNumberFormat="1" applyFont="1" applyBorder="1"/>
    <xf numFmtId="14" fontId="2" fillId="0" borderId="14" xfId="0" applyNumberFormat="1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14" fontId="2" fillId="0" borderId="13" xfId="0" quotePrefix="1" applyNumberFormat="1" applyFont="1" applyBorder="1" applyAlignment="1">
      <alignment horizontal="left"/>
    </xf>
    <xf numFmtId="0" fontId="2" fillId="2" borderId="18" xfId="0" applyFont="1" applyFill="1" applyBorder="1" applyAlignment="1">
      <alignment horizontal="center"/>
    </xf>
    <xf numFmtId="0" fontId="4" fillId="2" borderId="18" xfId="0" applyFont="1" applyFill="1" applyBorder="1"/>
    <xf numFmtId="0" fontId="4" fillId="2" borderId="18" xfId="0" applyFont="1" applyFill="1" applyBorder="1" applyAlignment="1">
      <alignment wrapText="1"/>
    </xf>
    <xf numFmtId="165" fontId="2" fillId="2" borderId="18" xfId="1" applyNumberFormat="1" applyFont="1" applyFill="1" applyBorder="1"/>
    <xf numFmtId="14" fontId="2" fillId="2" borderId="18" xfId="0" applyNumberFormat="1" applyFont="1" applyFill="1" applyBorder="1"/>
    <xf numFmtId="14" fontId="2" fillId="2" borderId="18" xfId="0" applyNumberFormat="1" applyFont="1" applyFill="1" applyBorder="1" applyAlignment="1">
      <alignment horizontal="left"/>
    </xf>
    <xf numFmtId="14" fontId="4" fillId="2" borderId="18" xfId="0" applyNumberFormat="1" applyFont="1" applyFill="1" applyBorder="1" applyAlignment="1">
      <alignment horizontal="left"/>
    </xf>
    <xf numFmtId="164" fontId="4" fillId="2" borderId="18" xfId="1" applyFont="1" applyFill="1" applyBorder="1" applyAlignment="1">
      <alignment horizontal="center"/>
    </xf>
    <xf numFmtId="165" fontId="9" fillId="2" borderId="18" xfId="1" applyNumberFormat="1" applyFont="1" applyFill="1" applyBorder="1"/>
    <xf numFmtId="14" fontId="2" fillId="0" borderId="12" xfId="0" quotePrefix="1" applyNumberFormat="1" applyFont="1" applyBorder="1"/>
    <xf numFmtId="164" fontId="2" fillId="0" borderId="8" xfId="1" applyFont="1" applyFill="1" applyBorder="1" applyAlignment="1">
      <alignment horizontal="center"/>
    </xf>
    <xf numFmtId="14" fontId="4" fillId="0" borderId="8" xfId="0" quotePrefix="1" applyNumberFormat="1" applyFont="1" applyBorder="1" applyAlignment="1">
      <alignment horizontal="left"/>
    </xf>
    <xf numFmtId="0" fontId="2" fillId="10" borderId="8" xfId="0" applyFont="1" applyFill="1" applyBorder="1" applyAlignment="1">
      <alignment horizontal="center"/>
    </xf>
    <xf numFmtId="0" fontId="2" fillId="10" borderId="13" xfId="0" applyFont="1" applyFill="1" applyBorder="1"/>
    <xf numFmtId="0" fontId="2" fillId="10" borderId="13" xfId="0" applyFont="1" applyFill="1" applyBorder="1" applyAlignment="1">
      <alignment wrapText="1"/>
    </xf>
    <xf numFmtId="0" fontId="2" fillId="10" borderId="9" xfId="0" applyFont="1" applyFill="1" applyBorder="1" applyAlignment="1">
      <alignment wrapText="1"/>
    </xf>
    <xf numFmtId="165" fontId="2" fillId="10" borderId="8" xfId="1" applyNumberFormat="1" applyFont="1" applyFill="1" applyBorder="1"/>
    <xf numFmtId="165" fontId="2" fillId="10" borderId="9" xfId="1" applyNumberFormat="1" applyFont="1" applyFill="1" applyBorder="1"/>
    <xf numFmtId="14" fontId="2" fillId="10" borderId="12" xfId="0" applyNumberFormat="1" applyFont="1" applyFill="1" applyBorder="1"/>
    <xf numFmtId="14" fontId="2" fillId="10" borderId="13" xfId="0" applyNumberFormat="1" applyFont="1" applyFill="1" applyBorder="1" applyAlignment="1">
      <alignment horizontal="left"/>
    </xf>
    <xf numFmtId="14" fontId="4" fillId="10" borderId="9" xfId="0" applyNumberFormat="1" applyFont="1" applyFill="1" applyBorder="1" applyAlignment="1">
      <alignment horizontal="left"/>
    </xf>
    <xf numFmtId="14" fontId="4" fillId="10" borderId="8" xfId="0" applyNumberFormat="1" applyFont="1" applyFill="1" applyBorder="1" applyAlignment="1">
      <alignment horizontal="left"/>
    </xf>
    <xf numFmtId="0" fontId="2" fillId="10" borderId="12" xfId="0" applyFont="1" applyFill="1" applyBorder="1" applyAlignment="1">
      <alignment horizontal="center"/>
    </xf>
    <xf numFmtId="164" fontId="4" fillId="10" borderId="8" xfId="1" applyFont="1" applyFill="1" applyBorder="1" applyAlignment="1">
      <alignment horizontal="center"/>
    </xf>
    <xf numFmtId="165" fontId="9" fillId="10" borderId="8" xfId="1" applyNumberFormat="1" applyFont="1" applyFill="1" applyBorder="1"/>
    <xf numFmtId="165" fontId="9" fillId="10" borderId="9" xfId="1" applyNumberFormat="1" applyFont="1" applyFill="1" applyBorder="1"/>
    <xf numFmtId="14" fontId="2" fillId="10" borderId="12" xfId="0" quotePrefix="1" applyNumberFormat="1" applyFont="1" applyFill="1" applyBorder="1"/>
    <xf numFmtId="0" fontId="4" fillId="10" borderId="8" xfId="0" applyFont="1" applyFill="1" applyBorder="1" applyAlignment="1">
      <alignment horizontal="center"/>
    </xf>
    <xf numFmtId="0" fontId="4" fillId="10" borderId="9" xfId="0" applyFont="1" applyFill="1" applyBorder="1"/>
    <xf numFmtId="165" fontId="4" fillId="10" borderId="8" xfId="1" applyNumberFormat="1" applyFont="1" applyFill="1" applyBorder="1"/>
    <xf numFmtId="165" fontId="4" fillId="10" borderId="9" xfId="1" applyNumberFormat="1" applyFont="1" applyFill="1" applyBorder="1"/>
    <xf numFmtId="14" fontId="4" fillId="10" borderId="8" xfId="0" quotePrefix="1" applyNumberFormat="1" applyFont="1" applyFill="1" applyBorder="1"/>
    <xf numFmtId="0" fontId="2" fillId="0" borderId="20" xfId="0" applyFont="1" applyBorder="1" applyAlignment="1">
      <alignment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9" xfId="0" applyFont="1" applyBorder="1" applyAlignment="1">
      <alignment wrapText="1"/>
    </xf>
    <xf numFmtId="14" fontId="4" fillId="0" borderId="8" xfId="0" quotePrefix="1" applyNumberFormat="1" applyFont="1" applyBorder="1"/>
    <xf numFmtId="165" fontId="2" fillId="10" borderId="0" xfId="0" applyNumberFormat="1" applyFont="1" applyFill="1"/>
    <xf numFmtId="0" fontId="2" fillId="2" borderId="18" xfId="0" applyFont="1" applyFill="1" applyBorder="1" applyAlignment="1">
      <alignment wrapText="1"/>
    </xf>
    <xf numFmtId="14" fontId="2" fillId="2" borderId="18" xfId="1" quotePrefix="1" applyNumberFormat="1" applyFont="1" applyFill="1" applyBorder="1"/>
    <xf numFmtId="14" fontId="2" fillId="2" borderId="18" xfId="0" quotePrefix="1" applyNumberFormat="1" applyFont="1" applyFill="1" applyBorder="1"/>
    <xf numFmtId="0" fontId="2" fillId="0" borderId="14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165" fontId="2" fillId="0" borderId="8" xfId="1" applyNumberFormat="1" applyFont="1" applyFill="1" applyBorder="1" applyAlignment="1">
      <alignment vertical="top"/>
    </xf>
    <xf numFmtId="164" fontId="4" fillId="0" borderId="8" xfId="1" applyFont="1" applyFill="1" applyBorder="1" applyAlignment="1">
      <alignment horizontal="left"/>
    </xf>
    <xf numFmtId="165" fontId="9" fillId="0" borderId="8" xfId="1" applyNumberFormat="1" applyFont="1" applyFill="1" applyBorder="1" applyAlignment="1">
      <alignment horizontal="left"/>
    </xf>
    <xf numFmtId="1" fontId="4" fillId="2" borderId="1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3" xfId="0" applyFont="1" applyFill="1" applyBorder="1"/>
    <xf numFmtId="0" fontId="2" fillId="2" borderId="14" xfId="0" applyFont="1" applyFill="1" applyBorder="1" applyAlignment="1">
      <alignment wrapText="1"/>
    </xf>
    <xf numFmtId="0" fontId="2" fillId="2" borderId="19" xfId="0" applyFont="1" applyFill="1" applyBorder="1" applyAlignment="1">
      <alignment wrapText="1"/>
    </xf>
    <xf numFmtId="165" fontId="2" fillId="2" borderId="8" xfId="1" applyNumberFormat="1" applyFont="1" applyFill="1" applyBorder="1"/>
    <xf numFmtId="165" fontId="2" fillId="2" borderId="9" xfId="1" applyNumberFormat="1" applyFont="1" applyFill="1" applyBorder="1"/>
    <xf numFmtId="14" fontId="2" fillId="2" borderId="12" xfId="0" applyNumberFormat="1" applyFont="1" applyFill="1" applyBorder="1"/>
    <xf numFmtId="14" fontId="2" fillId="2" borderId="13" xfId="0" applyNumberFormat="1" applyFont="1" applyFill="1" applyBorder="1" applyAlignment="1">
      <alignment horizontal="left"/>
    </xf>
    <xf numFmtId="14" fontId="4" fillId="2" borderId="9" xfId="0" applyNumberFormat="1" applyFont="1" applyFill="1" applyBorder="1" applyAlignment="1">
      <alignment horizontal="left"/>
    </xf>
    <xf numFmtId="14" fontId="4" fillId="2" borderId="8" xfId="0" applyNumberFormat="1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165" fontId="9" fillId="2" borderId="8" xfId="1" applyNumberFormat="1" applyFont="1" applyFill="1" applyBorder="1"/>
    <xf numFmtId="165" fontId="9" fillId="2" borderId="9" xfId="1" applyNumberFormat="1" applyFont="1" applyFill="1" applyBorder="1"/>
    <xf numFmtId="1" fontId="4" fillId="0" borderId="8" xfId="0" applyNumberFormat="1" applyFont="1" applyBorder="1" applyAlignment="1">
      <alignment horizontal="center"/>
    </xf>
    <xf numFmtId="165" fontId="4" fillId="2" borderId="18" xfId="1" applyNumberFormat="1" applyFont="1" applyFill="1" applyBorder="1"/>
    <xf numFmtId="0" fontId="2" fillId="2" borderId="7" xfId="0" applyFont="1" applyFill="1" applyBorder="1" applyAlignment="1">
      <alignment horizontal="center"/>
    </xf>
    <xf numFmtId="0" fontId="4" fillId="2" borderId="14" xfId="0" applyFont="1" applyFill="1" applyBorder="1"/>
    <xf numFmtId="165" fontId="2" fillId="2" borderId="7" xfId="1" applyNumberFormat="1" applyFont="1" applyFill="1" applyBorder="1"/>
    <xf numFmtId="165" fontId="2" fillId="2" borderId="19" xfId="1" applyNumberFormat="1" applyFont="1" applyFill="1" applyBorder="1"/>
    <xf numFmtId="14" fontId="2" fillId="2" borderId="15" xfId="0" quotePrefix="1" applyNumberFormat="1" applyFont="1" applyFill="1" applyBorder="1"/>
    <xf numFmtId="14" fontId="2" fillId="2" borderId="14" xfId="0" quotePrefix="1" applyNumberFormat="1" applyFont="1" applyFill="1" applyBorder="1" applyAlignment="1">
      <alignment horizontal="left"/>
    </xf>
    <xf numFmtId="14" fontId="4" fillId="2" borderId="19" xfId="0" applyNumberFormat="1" applyFont="1" applyFill="1" applyBorder="1" applyAlignment="1">
      <alignment horizontal="left"/>
    </xf>
    <xf numFmtId="14" fontId="4" fillId="2" borderId="7" xfId="0" applyNumberFormat="1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164" fontId="4" fillId="2" borderId="7" xfId="1" applyFont="1" applyFill="1" applyBorder="1" applyAlignment="1">
      <alignment horizontal="center"/>
    </xf>
    <xf numFmtId="165" fontId="9" fillId="2" borderId="7" xfId="1" applyNumberFormat="1" applyFont="1" applyFill="1" applyBorder="1"/>
    <xf numFmtId="165" fontId="9" fillId="2" borderId="19" xfId="1" applyNumberFormat="1" applyFont="1" applyFill="1" applyBorder="1"/>
    <xf numFmtId="14" fontId="4" fillId="0" borderId="18" xfId="0" applyNumberFormat="1" applyFont="1" applyBorder="1"/>
    <xf numFmtId="1" fontId="4" fillId="0" borderId="7" xfId="0" applyNumberFormat="1" applyFont="1" applyBorder="1" applyAlignment="1">
      <alignment horizontal="center"/>
    </xf>
    <xf numFmtId="0" fontId="2" fillId="2" borderId="9" xfId="0" applyFont="1" applyFill="1" applyBorder="1"/>
    <xf numFmtId="14" fontId="2" fillId="2" borderId="8" xfId="0" applyNumberFormat="1" applyFont="1" applyFill="1" applyBorder="1"/>
    <xf numFmtId="14" fontId="2" fillId="2" borderId="9" xfId="0" applyNumberFormat="1" applyFont="1" applyFill="1" applyBorder="1" applyAlignment="1">
      <alignment horizontal="left"/>
    </xf>
    <xf numFmtId="165" fontId="4" fillId="2" borderId="8" xfId="1" applyNumberFormat="1" applyFont="1" applyFill="1" applyBorder="1"/>
    <xf numFmtId="165" fontId="4" fillId="2" borderId="9" xfId="1" applyNumberFormat="1" applyFont="1" applyFill="1" applyBorder="1"/>
    <xf numFmtId="0" fontId="2" fillId="0" borderId="21" xfId="0" applyFont="1" applyBorder="1" applyAlignment="1">
      <alignment horizontal="center"/>
    </xf>
    <xf numFmtId="0" fontId="2" fillId="0" borderId="22" xfId="0" applyFont="1" applyBorder="1"/>
    <xf numFmtId="165" fontId="2" fillId="0" borderId="21" xfId="1" applyNumberFormat="1" applyFont="1" applyFill="1" applyBorder="1"/>
    <xf numFmtId="14" fontId="2" fillId="0" borderId="22" xfId="0" applyNumberFormat="1" applyFont="1" applyBorder="1"/>
    <xf numFmtId="14" fontId="2" fillId="0" borderId="22" xfId="0" applyNumberFormat="1" applyFont="1" applyBorder="1" applyAlignment="1">
      <alignment horizontal="left"/>
    </xf>
    <xf numFmtId="14" fontId="4" fillId="0" borderId="21" xfId="0" applyNumberFormat="1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164" fontId="4" fillId="0" borderId="21" xfId="1" applyFont="1" applyFill="1" applyBorder="1" applyAlignment="1">
      <alignment horizontal="center"/>
    </xf>
    <xf numFmtId="165" fontId="4" fillId="0" borderId="21" xfId="1" applyNumberFormat="1" applyFont="1" applyFill="1" applyBorder="1"/>
    <xf numFmtId="14" fontId="2" fillId="6" borderId="19" xfId="1" quotePrefix="1" applyNumberFormat="1" applyFont="1" applyFill="1" applyBorder="1"/>
    <xf numFmtId="0" fontId="6" fillId="0" borderId="0" xfId="0" applyFont="1" applyAlignment="1">
      <alignment horizontal="center"/>
    </xf>
    <xf numFmtId="164" fontId="6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14" fontId="3" fillId="2" borderId="1" xfId="0" applyNumberFormat="1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 wrapText="1"/>
    </xf>
    <xf numFmtId="14" fontId="3" fillId="2" borderId="3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5" fontId="3" fillId="2" borderId="1" xfId="1" applyNumberFormat="1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165" fontId="3" fillId="2" borderId="3" xfId="1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64" fontId="3" fillId="2" borderId="2" xfId="1" applyFont="1" applyFill="1" applyBorder="1" applyAlignment="1">
      <alignment horizontal="center"/>
    </xf>
    <xf numFmtId="164" fontId="3" fillId="2" borderId="3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9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Relationship Id="rId159" Type="http://schemas.openxmlformats.org/officeDocument/2006/relationships/externalLink" Target="externalLinks/externalLink155.xml"/><Relationship Id="rId170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149" Type="http://schemas.openxmlformats.org/officeDocument/2006/relationships/externalLink" Target="externalLinks/externalLink145.xml"/><Relationship Id="rId5" Type="http://schemas.openxmlformats.org/officeDocument/2006/relationships/externalLink" Target="externalLinks/externalLink1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181" Type="http://schemas.openxmlformats.org/officeDocument/2006/relationships/externalLink" Target="externalLinks/externalLink177.xml"/><Relationship Id="rId22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139" Type="http://schemas.openxmlformats.org/officeDocument/2006/relationships/externalLink" Target="externalLinks/externalLink135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71" Type="http://schemas.openxmlformats.org/officeDocument/2006/relationships/externalLink" Target="externalLinks/externalLink167.xml"/><Relationship Id="rId12" Type="http://schemas.openxmlformats.org/officeDocument/2006/relationships/externalLink" Target="externalLinks/externalLink8.xml"/><Relationship Id="rId33" Type="http://schemas.openxmlformats.org/officeDocument/2006/relationships/externalLink" Target="externalLinks/externalLink29.xml"/><Relationship Id="rId108" Type="http://schemas.openxmlformats.org/officeDocument/2006/relationships/externalLink" Target="externalLinks/externalLink104.xml"/><Relationship Id="rId129" Type="http://schemas.openxmlformats.org/officeDocument/2006/relationships/externalLink" Target="externalLinks/externalLink125.xml"/><Relationship Id="rId54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71.xml"/><Relationship Id="rId96" Type="http://schemas.openxmlformats.org/officeDocument/2006/relationships/externalLink" Target="externalLinks/externalLink92.xml"/><Relationship Id="rId140" Type="http://schemas.openxmlformats.org/officeDocument/2006/relationships/externalLink" Target="externalLinks/externalLink136.xml"/><Relationship Id="rId161" Type="http://schemas.openxmlformats.org/officeDocument/2006/relationships/externalLink" Target="externalLinks/externalLink157.xml"/><Relationship Id="rId182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44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82.xml"/><Relationship Id="rId130" Type="http://schemas.openxmlformats.org/officeDocument/2006/relationships/externalLink" Target="externalLinks/externalLink126.xml"/><Relationship Id="rId151" Type="http://schemas.openxmlformats.org/officeDocument/2006/relationships/externalLink" Target="externalLinks/externalLink147.xml"/><Relationship Id="rId172" Type="http://schemas.openxmlformats.org/officeDocument/2006/relationships/externalLink" Target="externalLinks/externalLink168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109" Type="http://schemas.openxmlformats.org/officeDocument/2006/relationships/externalLink" Target="externalLinks/externalLink10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04" Type="http://schemas.openxmlformats.org/officeDocument/2006/relationships/externalLink" Target="externalLinks/externalLink100.xml"/><Relationship Id="rId120" Type="http://schemas.openxmlformats.org/officeDocument/2006/relationships/externalLink" Target="externalLinks/externalLink116.xml"/><Relationship Id="rId125" Type="http://schemas.openxmlformats.org/officeDocument/2006/relationships/externalLink" Target="externalLinks/externalLink121.xml"/><Relationship Id="rId141" Type="http://schemas.openxmlformats.org/officeDocument/2006/relationships/externalLink" Target="externalLinks/externalLink137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162" Type="http://schemas.openxmlformats.org/officeDocument/2006/relationships/externalLink" Target="externalLinks/externalLink158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115" Type="http://schemas.openxmlformats.org/officeDocument/2006/relationships/externalLink" Target="externalLinks/externalLink111.xml"/><Relationship Id="rId131" Type="http://schemas.openxmlformats.org/officeDocument/2006/relationships/externalLink" Target="externalLinks/externalLink127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52" Type="http://schemas.openxmlformats.org/officeDocument/2006/relationships/externalLink" Target="externalLinks/externalLink148.xml"/><Relationship Id="rId173" Type="http://schemas.openxmlformats.org/officeDocument/2006/relationships/externalLink" Target="externalLinks/externalLink169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42" Type="http://schemas.openxmlformats.org/officeDocument/2006/relationships/externalLink" Target="externalLinks/externalLink138.xml"/><Relationship Id="rId163" Type="http://schemas.openxmlformats.org/officeDocument/2006/relationships/externalLink" Target="externalLinks/externalLink159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32" Type="http://schemas.openxmlformats.org/officeDocument/2006/relationships/externalLink" Target="externalLinks/externalLink128.xml"/><Relationship Id="rId153" Type="http://schemas.openxmlformats.org/officeDocument/2006/relationships/externalLink" Target="externalLinks/externalLink149.xml"/><Relationship Id="rId174" Type="http://schemas.openxmlformats.org/officeDocument/2006/relationships/externalLink" Target="externalLinks/externalLink170.xml"/><Relationship Id="rId179" Type="http://schemas.openxmlformats.org/officeDocument/2006/relationships/externalLink" Target="externalLinks/externalLink175.xml"/><Relationship Id="rId15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53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94" Type="http://schemas.openxmlformats.org/officeDocument/2006/relationships/externalLink" Target="externalLinks/externalLink90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122" Type="http://schemas.openxmlformats.org/officeDocument/2006/relationships/externalLink" Target="externalLinks/externalLink118.xml"/><Relationship Id="rId143" Type="http://schemas.openxmlformats.org/officeDocument/2006/relationships/externalLink" Target="externalLinks/externalLink139.xml"/><Relationship Id="rId148" Type="http://schemas.openxmlformats.org/officeDocument/2006/relationships/externalLink" Target="externalLinks/externalLink144.xml"/><Relationship Id="rId164" Type="http://schemas.openxmlformats.org/officeDocument/2006/relationships/externalLink" Target="externalLinks/externalLink160.xml"/><Relationship Id="rId169" Type="http://schemas.openxmlformats.org/officeDocument/2006/relationships/externalLink" Target="externalLinks/externalLink165.xml"/><Relationship Id="rId185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80" Type="http://schemas.openxmlformats.org/officeDocument/2006/relationships/externalLink" Target="externalLinks/externalLink176.xml"/><Relationship Id="rId26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33" Type="http://schemas.openxmlformats.org/officeDocument/2006/relationships/externalLink" Target="externalLinks/externalLink129.xml"/><Relationship Id="rId154" Type="http://schemas.openxmlformats.org/officeDocument/2006/relationships/externalLink" Target="externalLinks/externalLink150.xml"/><Relationship Id="rId175" Type="http://schemas.openxmlformats.org/officeDocument/2006/relationships/externalLink" Target="externalLinks/externalLink171.xml"/><Relationship Id="rId16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externalLink" Target="externalLinks/externalLink119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65" Type="http://schemas.openxmlformats.org/officeDocument/2006/relationships/externalLink" Target="externalLinks/externalLink161.xml"/><Relationship Id="rId186" Type="http://schemas.openxmlformats.org/officeDocument/2006/relationships/calcChain" Target="calcChain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001%20Ved%20Prakash%20Agarw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002%20Yogender%20Singh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003%20SHASHI%20MOUL%20TIWAR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004%20HARSHIT%20GUPT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005%20Padam%20Kumar%20&amp;%20Nitin%20Kuma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006%20RAHUL%20TRIPATHI%20&amp;%20PRAJSH%20NAYAK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007%20ROHINI%20RAMAN%20KOUSH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008%20RAHUL%20TRIPATHI%20&amp;%20PRAJSH%20NAYAK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009%20SHEFALI%20RANI%20MUKHERJI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010%20PRIYANKA%20GUPT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011%20RANJANA%20JAI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012%20PRIYANKA%20SINGH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013%20Jaideep%20Gupt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014%20Rachna%20Rathor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01%20Munesh%20Kuma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02%20SATYABHAN%20SINGH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3%20Babita%20Sharm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4%20RISHI%20SETHI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05%20MADAN%20GOPAL%20SARASWA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6%20Pawan%20Kisho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7%20Sanchit%20&amp;%20Neha%20Bansa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8%20PRAMOD%20KUMAR%20SRIVASTAV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9%20Pawan%20Kishor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0%20Swati%20Srivasta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1%20Padam%20Kumar%20&amp;%20Nitin%20Kuma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12%20PUNEE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3%20Neelam%20Gupt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4%20SHVINAI%20SHARMA%20&amp;%20ARUN%20KUMAR%20SHARM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201%20SATISH%20KUMAR%20GUPTA%20TILL%202024%20MA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202%20RAJDULARI%20AGARWAL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DEEPAK%20TILL%20MAY%202024\Tower%20-%20A%20Assured%20MASTER%20DATA\Tower%20-%20%20A%20Excel%2010th%20LIst\A%20-%20203%20SUSHIL%20KUMAR%20BURMA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205%20NIRMALA%20DEVI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206%20JYOTI%20DIXIT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206%20JYOTI%20DIXIT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207%20SAMEER%20GAUTAM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208%20RAM%20KUMAR%20SHARMA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209%20SUNITA%20SHARMA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210%20LORD%20KRISHNA%20FOUNDATION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A%20%20Excel%2025th%20List\A%20-%20211%20BIMLA%20AGGARWAL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212%20AMAN%20SHARMA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213%20SUKRIT%20GUPTA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25th%20List\A%20-%20302%20MADHU%20BHANDARI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A%20%20Excel%2025th%20List\A%20-%20304%20MADHU%20G%20GANGLANI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306%20RAJESH%20WASON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307%20MANOJ%20KUMAR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3%20APRIL\MASTER%20DATA%20BY%20TILL%202026\Tower%20-%20A%20Assured%20MASTER%20DATA\Tower%20-%20%20A%20Excel%2010th%20LIst\A%20-%20308%20SHAIL%20SINGHAL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310%20DIVYA%20GAUTAM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311%20SHALINI%20SHARMA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312%20NAMITA%20JAIN%20%20don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313%20ANOOP%20KUMAR%20GUPTA%20&amp;%20PURNIMA%20GUPTA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25th%20List\A%20-%20314%20NEERU%20ARORA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314%20Gaurav%20Gupta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404%20Vishnu%20Kumar%20Agarwal%20(RESELL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405%20GARIMA%20SINDHU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407%20NEETA%20JAGGI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409%20SHYAMA%20SACHAN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410%20MANJU%20AROR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410%20Mamta%20Singh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25th%20List\A%20-%20411%20SUSHMA%20JAIN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DEEPAK%20TILL%20MAY%202024\Tower%20-%20A%20Assured%20MASTER%20DATA\Tower%20-%20A%20%20Excel%2025th%20List\A%20-%20411%20SUSHMA%20JAIN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411%20SWATI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25th%20List\A%20-%20412%20SANTOSH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413%20GEETA%20GIRI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414%20RAMESH%20KUMAR%20JAGGI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501%20Sunita%20Gupta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502%20AMIT%20AGGARWAL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502%20JITNEDER%20(RESELL)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503%20SHEFALI%20RANI%20MUKHERJEE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503%20Manju%20Goyal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504%20SHASHI%20KHANNA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505%20ARCHANA%20KULSHRETHA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506%20SEEMA%20SRIVASTAVA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507%20VEENA%20SAHNI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508%20Vishnu%20Kumar%20Agarwal%20(RESELL)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509%20KETIKI%20SINGH%20SHASTRI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510%20VANDANA%20PARASHAR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510%20VANDANA%20PARASHAR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511%20USHA%20GANDHI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513%20PREM%20CHAND%20GUPTA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514%20RANI%20GUPTA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DEEPAK%20TILL%20MAY%202024\Tower%20-%20A%20Assured%20MASTER%20DATA\Tower%20-%20%20A%20Excel%2010th%20LIst\A%20-%20601%20RAJESH%20SHARMA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602%20MADHAV%20KATARA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603%20AKSHAY%20KHULLAR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603%20Pooja%20Chand%20Dwivedi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604%20AKHILESH%20PRAKASH%20KULSHRESTHA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DEEPAK%20TILL%20MAY%202024\Tower%20-%20A%20Assured%20MASTER%20DATA\Tower%20-%20%20A%20Excel%2010th%20LIst\A%20-%20605%20SAROJ%20KULSHRESTHA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606%20SUYASH%20VARSHNEY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606%20Praveen%20Tripathi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DEEPAK%20TILL%20MAY%202024\Tower%20-%20A%20Assured%20MASTER%20DATA\Tower%20-%20%20A%20Excel%2010th%20LIst\A%20-%20607%20POOJA%20BHARGAV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608%20NITIN%20JAIN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25th%20List\A%20-%20609%20PRATEEK%20BANSAL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610%20JITENDER%20KUMAR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611%20ASHOK%20PRAKASH%20KULSHRETHA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612%20UMA%20SHANKAR%20PRASAD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613%20SITA%20MATHUR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614%20GANGA%20RAM%20GANGLANI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25th%20List\A%20-%20701%20VANDANA%20SINGH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701%20VIMAL%20TRIPATHI%20&amp;%20NAMITA%20TRIPATHI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702%20SUNIL%20KUMAR%20GAUTAM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703%20Rashmi%20Rekha%20Sahu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703%20NIRMALA%20DEVI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DEEPAK%20TILL%20MAY%202024\Tower%20-%20A%20Assured%20MASTER%20DATA\Tower%20-%20%20A%20Excel%2010th%20LIst\A%20-%20703%20NIRMALA%20DEVI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704%20SANDHYA%20MADAN%20SANJAY%20MADAN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705%20ARTI%20SHARMA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705%20ARTI%20SHARMA.xlsx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706%20SUKESHNI%20JULKA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707%20SIMTA%20CHAUHAAN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709%20AMAN%20SUJAY%20BHARGAVA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710%20ANITA%20GAUTAM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711%20SANGEETA%20GUPTA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712%20BHARTI%20GHAMBIR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713%20LATA%20SHARMA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714%20KUSHUM%20SRIVASTAVA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714%20Manisha%20Sharma%20&amp;%20Rajesh%20Sharma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801%20BHAWANA%20BABBAR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DEEPAK%20TILL%20MAY%202024\Tower%20-%20A%20Assured%20MASTER%20DATA\Tower%20-%20%20A%20Excel%2010th%20LIst\A%20-%20801%20BHAWANA%20BABBAR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801%20MOHINI%20CHAOUDHARY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Client%20Wise\10th%20List\A%20-%20802%20ASHA%20DEVI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803%20Satyajeet%20Sharma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A%20%20Excel%2025th%20List\A%20-%20803%20MANISH%20GANGLANI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804%20VINITA%20BERRY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A%20%20Excel%2025th%20List\A%20-%20805%20RITA%20CHIBB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805%20PUNAM%20KUMARI%20THAKUR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A%20%20Excel%2025th%20List\A%20-%20807%20VARSHA%20JAIN%20&amp;%20NITIN%20JAIN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809%20MAULIK%20BERRY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A%20%20Excel%2025th%20List\A%20-%20810%20KANCHAN%20BAKSHI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25th%20List\A%20-%20810%20KANCHAN%20BAKSHI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3%20APRIL\MASTER%20DATA%20BY%20TILL%202026\Tower%20-%20A%20Assured%20MASTER%20DATA\Tower%20-%20A%20%20Excel%2025th%20List\A%20-%20810%20KANCHAN%20BAKSHI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811%20ARCHANA%20GUPTA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812%20PRAMILA%20CHAUHAN%20INDERVANSHI.xlsx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25th%20List\A%20-%20813%20ANITA%20GAUTAM.xlsx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A%20%20Excel%2025th%20List\A%20-%20813%20ANITA%20GAUTAM.xlsx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814%20ASHOK%20KUMAR%20AGGARWAL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901%20KAMLESH%20CHAHAR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903%20MADHVENDER%20SINGH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904%20MADHVENDER%20SINGH.xlsx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3%20APRIL\MASTER%20DATA%20BY%20TILL%202026\Tower%20-%20A%20Assured%20MASTER%20DATA\Tower%20-%20A%20%20Excel%2025th%20List\A%20-%20905%20TAPAN%20KUMAR%20CHANDA.xlsx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906%20SATYAJEET%20SHARMA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906%20SATYAJEET%20SHARMA.xlsx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25th%20List\A%20-%20907%20RAVI%20SHANKAR%20VENKATRAMA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907%20Sikha%20Srivastav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909%20SAURABH%20JAIN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909%20Ashwar%20Gupta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910%20RAVINA%20GUPTA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911%20MEENU%20SETH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912%20DEEPAK%20RATHORE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913%20GAURAV%20VARSHNEY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914%20VIKAS%20SINGH.xlsx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01%20RAJ%20%20BALA%20MITTAL.xls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02%20Nisha%20Singhal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1003%20RAJ%20MINOCHA.xlsx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003%20RIMPI%20RANI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04%20LAXMIKANT%20BANSAL.xlsx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05%20LAXMIKANT%20BANSAL.xlsx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06%20Anju%20Sharma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07%20DEEPIKA%20SINGH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1008%20SHIVINDER%20SINGH.xlsx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008%20Sangeeta%20Gupta.xlsx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1009%20SHIVINDER%20SINGH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009%20Sangeeta%20Gupta.xlsx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10%20ABHIMANYU%20RAJ%20SINGH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11%20ASHOK%20KUMAR.xlsx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STER%20DATA%20BY%20DEEPAK%20TILL%20MAY%202024\Tower%20-%20A%20Assured%20MASTER%20DATA\Tower%20-%20A%20-%20Client%20Wise\10th%20List\A%20-%20902%20MEERA%20VERMA.xlsx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1012%20MEERA%20VERMA.xlsx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013%20SHILPEE%20SRIVATAV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014%20KIRTIMAN%20SINGH%20AND%20NALINI%20SINGH.xlsx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ASTER%20DATA%20BY%20TILL%20MAY%202024\Tower%20-%20A%20Assured%20MASTER%20DATA\Tower%20-%20%20A%20Excel%2010th%20LIst\A%20-%201101%20WESTERN%20ENWERGETICS%20PVT.%20LTD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103%20Rahul%20Gupta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104%20Vijay%20Rani.xlsx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05%20SHRISTI%20PRADHAN.xlsx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A%20%20Excel%2025th%20List\A%20-%201106%20Rahul%20Gupta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07%20USHA%20GUPTA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08%20MONA%20SHELLY.xlsx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09%20JASBIR%20KAUR%20&amp;%20HARSIMRAN%20SINGH.xlsx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10%20JASBIR%20KAUR%20&amp;%20HARSIMRAN%20SINGH.xlsx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11%20MADHU%20BALA.xlsx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IVE%20-%202026\MASTER%20DATA%20BY%20TILL%202026\Tower%20-%20A%20Assured%20MASTER%20DATA\Tower%20-%20%20A%20Excel%2010th%20LIst\A%20-%201114%20VIKAS%20SING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01"/>
    </sheetNames>
    <sheetDataSet>
      <sheetData sheetId="0">
        <row r="45">
          <cell r="D45">
            <v>310000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02"/>
    </sheetNames>
    <sheetDataSet>
      <sheetData sheetId="0">
        <row r="45">
          <cell r="D45">
            <v>434000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03"/>
    </sheetNames>
    <sheetDataSet>
      <sheetData sheetId="0">
        <row r="45">
          <cell r="D45">
            <v>279000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04"/>
    </sheetNames>
    <sheetDataSet>
      <sheetData sheetId="0">
        <row r="45">
          <cell r="D45">
            <v>403000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05"/>
    </sheetNames>
    <sheetDataSet>
      <sheetData sheetId="0">
        <row r="45">
          <cell r="D45">
            <v>186000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06"/>
    </sheetNames>
    <sheetDataSet>
      <sheetData sheetId="0">
        <row r="69">
          <cell r="D69">
            <v>558000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07"/>
    </sheetNames>
    <sheetDataSet>
      <sheetData sheetId="0">
        <row r="121">
          <cell r="D121">
            <v>2400000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08"/>
    </sheetNames>
    <sheetDataSet>
      <sheetData sheetId="0">
        <row r="69">
          <cell r="D69">
            <v>558000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09"/>
    </sheetNames>
    <sheetDataSet>
      <sheetData sheetId="0">
        <row r="121">
          <cell r="D121">
            <v>1590000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10"/>
    </sheetNames>
    <sheetDataSet>
      <sheetData sheetId="0">
        <row r="121">
          <cell r="D121">
            <v>2670000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11"/>
    </sheetNames>
    <sheetDataSet>
      <sheetData sheetId="0">
        <row r="121">
          <cell r="D121">
            <v>2670000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12"/>
    </sheetNames>
    <sheetDataSet>
      <sheetData sheetId="0">
        <row r="121">
          <cell r="D121">
            <v>1567500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13"/>
    </sheetNames>
    <sheetDataSet>
      <sheetData sheetId="0">
        <row r="81">
          <cell r="D81">
            <v>310000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014"/>
    </sheetNames>
    <sheetDataSet>
      <sheetData sheetId="0">
        <row r="45">
          <cell r="D45">
            <v>248000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1"/>
    </sheetNames>
    <sheetDataSet>
      <sheetData sheetId="0">
        <row r="45">
          <cell r="D45">
            <v>465000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2"/>
    </sheetNames>
    <sheetDataSet>
      <sheetData sheetId="0">
        <row r="45">
          <cell r="D45">
            <v>341000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3"/>
    </sheetNames>
    <sheetDataSet>
      <sheetData sheetId="0">
        <row r="45">
          <cell r="D45">
            <v>434000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4"/>
    </sheetNames>
    <sheetDataSet>
      <sheetData sheetId="0">
        <row r="121">
          <cell r="D121">
            <v>1635000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5"/>
    </sheetNames>
    <sheetDataSet>
      <sheetData sheetId="0">
        <row r="57">
          <cell r="D57">
            <v>217000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6"/>
    </sheetNames>
    <sheetDataSet>
      <sheetData sheetId="0">
        <row r="57">
          <cell r="D57">
            <v>620000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7"/>
    </sheetNames>
    <sheetDataSet>
      <sheetData sheetId="0">
        <row r="59">
          <cell r="D59">
            <v>1089000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8"/>
    </sheetNames>
    <sheetDataSet>
      <sheetData sheetId="0">
        <row r="109">
          <cell r="D109">
            <v>1350000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9"/>
    </sheetNames>
    <sheetDataSet>
      <sheetData sheetId="0">
        <row r="57">
          <cell r="D57">
            <v>620000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0"/>
    </sheetNames>
    <sheetDataSet>
      <sheetData sheetId="0">
        <row r="59">
          <cell r="D59">
            <v>696000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1"/>
    </sheetNames>
    <sheetDataSet>
      <sheetData sheetId="0">
        <row r="45">
          <cell r="D45">
            <v>279000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2"/>
    </sheetNames>
    <sheetDataSet>
      <sheetData sheetId="0">
        <row r="59">
          <cell r="D59">
            <v>1221000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3"/>
    </sheetNames>
    <sheetDataSet>
      <sheetData sheetId="0">
        <row r="81">
          <cell r="D81">
            <v>279000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4"/>
    </sheetNames>
    <sheetDataSet>
      <sheetData sheetId="0">
        <row r="45">
          <cell r="D45">
            <v>403000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01"/>
    </sheetNames>
    <sheetDataSet>
      <sheetData sheetId="0">
        <row r="123">
          <cell r="D123">
            <v>1600000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02"/>
    </sheetNames>
    <sheetDataSet>
      <sheetData sheetId="0">
        <row r="45">
          <cell r="D45">
            <v>155000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03"/>
    </sheetNames>
    <sheetDataSet>
      <sheetData sheetId="0" refreshError="1">
        <row r="123">
          <cell r="D123">
            <v>1568000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05"/>
    </sheetNames>
    <sheetDataSet>
      <sheetData sheetId="0">
        <row r="45">
          <cell r="D45">
            <v>372000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06"/>
    </sheetNames>
    <sheetDataSet>
      <sheetData sheetId="0" refreshError="1">
        <row r="9">
          <cell r="D9">
            <v>15000</v>
          </cell>
        </row>
        <row r="10">
          <cell r="D10">
            <v>15000</v>
          </cell>
        </row>
        <row r="11">
          <cell r="D11">
            <v>15000</v>
          </cell>
        </row>
        <row r="12">
          <cell r="D12">
            <v>15000</v>
          </cell>
        </row>
        <row r="13">
          <cell r="D13">
            <v>15000</v>
          </cell>
        </row>
        <row r="14">
          <cell r="D14">
            <v>15000</v>
          </cell>
        </row>
        <row r="15">
          <cell r="D15">
            <v>15000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06"/>
    </sheetNames>
    <sheetDataSet>
      <sheetData sheetId="0">
        <row r="16">
          <cell r="D16">
            <v>22000</v>
          </cell>
        </row>
        <row r="17">
          <cell r="D17">
            <v>22000</v>
          </cell>
        </row>
        <row r="18">
          <cell r="D18">
            <v>22000</v>
          </cell>
        </row>
        <row r="19">
          <cell r="D19">
            <v>22000</v>
          </cell>
        </row>
        <row r="20">
          <cell r="D20">
            <v>22000</v>
          </cell>
        </row>
        <row r="21">
          <cell r="D21">
            <v>22000</v>
          </cell>
        </row>
        <row r="22">
          <cell r="D22">
            <v>22000</v>
          </cell>
        </row>
        <row r="23">
          <cell r="D23">
            <v>22000</v>
          </cell>
        </row>
        <row r="24">
          <cell r="D24">
            <v>22000</v>
          </cell>
        </row>
        <row r="25">
          <cell r="D25">
            <v>22000</v>
          </cell>
        </row>
        <row r="26">
          <cell r="D26">
            <v>22000</v>
          </cell>
        </row>
        <row r="27">
          <cell r="D27">
            <v>22000</v>
          </cell>
        </row>
        <row r="28">
          <cell r="D28">
            <v>22000</v>
          </cell>
        </row>
        <row r="29">
          <cell r="D29">
            <v>22000</v>
          </cell>
        </row>
        <row r="30">
          <cell r="D30">
            <v>22000</v>
          </cell>
        </row>
        <row r="31">
          <cell r="D31">
            <v>22000</v>
          </cell>
        </row>
        <row r="32">
          <cell r="D32">
            <v>22000</v>
          </cell>
        </row>
        <row r="33">
          <cell r="D33">
            <v>22000</v>
          </cell>
        </row>
        <row r="34">
          <cell r="D34">
            <v>22000</v>
          </cell>
        </row>
        <row r="35">
          <cell r="D35">
            <v>22000</v>
          </cell>
        </row>
        <row r="36">
          <cell r="D36">
            <v>22000</v>
          </cell>
        </row>
        <row r="37">
          <cell r="D37">
            <v>22000</v>
          </cell>
        </row>
        <row r="38">
          <cell r="D38">
            <v>22000</v>
          </cell>
        </row>
        <row r="39">
          <cell r="D39">
            <v>22000</v>
          </cell>
        </row>
        <row r="40">
          <cell r="D40">
            <v>22000</v>
          </cell>
        </row>
        <row r="41">
          <cell r="D41">
            <v>22000</v>
          </cell>
        </row>
        <row r="42">
          <cell r="D42">
            <v>22000</v>
          </cell>
        </row>
        <row r="43">
          <cell r="D43">
            <v>22000</v>
          </cell>
        </row>
        <row r="44">
          <cell r="D44">
            <v>22000</v>
          </cell>
        </row>
        <row r="45">
          <cell r="D45">
            <v>22000</v>
          </cell>
        </row>
        <row r="46">
          <cell r="D46">
            <v>22000</v>
          </cell>
        </row>
        <row r="47">
          <cell r="D47">
            <v>22000</v>
          </cell>
        </row>
        <row r="48">
          <cell r="D48">
            <v>22000</v>
          </cell>
        </row>
        <row r="49">
          <cell r="D49">
            <v>22000</v>
          </cell>
        </row>
        <row r="50">
          <cell r="D50">
            <v>22000</v>
          </cell>
        </row>
        <row r="51">
          <cell r="D51">
            <v>22000</v>
          </cell>
        </row>
        <row r="52">
          <cell r="D52">
            <v>22000</v>
          </cell>
        </row>
        <row r="53">
          <cell r="D53">
            <v>22000</v>
          </cell>
        </row>
        <row r="54">
          <cell r="D54">
            <v>22000</v>
          </cell>
        </row>
        <row r="55">
          <cell r="D55">
            <v>22000</v>
          </cell>
        </row>
        <row r="56">
          <cell r="D56">
            <v>22000</v>
          </cell>
        </row>
        <row r="57">
          <cell r="D57">
            <v>22000</v>
          </cell>
        </row>
        <row r="58">
          <cell r="D58">
            <v>22000</v>
          </cell>
        </row>
        <row r="59">
          <cell r="D59">
            <v>22000</v>
          </cell>
        </row>
        <row r="60">
          <cell r="D60">
            <v>22000</v>
          </cell>
        </row>
        <row r="61">
          <cell r="D61">
            <v>22000</v>
          </cell>
        </row>
        <row r="62">
          <cell r="D62">
            <v>11000</v>
          </cell>
        </row>
        <row r="63">
          <cell r="D63">
            <v>11000</v>
          </cell>
        </row>
        <row r="64">
          <cell r="D64">
            <v>11000</v>
          </cell>
        </row>
        <row r="65">
          <cell r="D65">
            <v>11000</v>
          </cell>
        </row>
        <row r="66">
          <cell r="D66">
            <v>11000</v>
          </cell>
        </row>
        <row r="67">
          <cell r="D67">
            <v>11000</v>
          </cell>
        </row>
        <row r="68">
          <cell r="D68">
            <v>11000</v>
          </cell>
        </row>
        <row r="69">
          <cell r="D69">
            <v>11000</v>
          </cell>
        </row>
        <row r="70">
          <cell r="D70">
            <v>11000</v>
          </cell>
        </row>
        <row r="71">
          <cell r="D71">
            <v>11000</v>
          </cell>
        </row>
        <row r="72">
          <cell r="D72">
            <v>11000</v>
          </cell>
        </row>
        <row r="73">
          <cell r="D73">
            <v>11000</v>
          </cell>
        </row>
        <row r="74">
          <cell r="D74">
            <v>11000</v>
          </cell>
        </row>
        <row r="75">
          <cell r="D75">
            <v>11000</v>
          </cell>
        </row>
        <row r="76">
          <cell r="D76">
            <v>11000</v>
          </cell>
        </row>
        <row r="77">
          <cell r="D77">
            <v>11000</v>
          </cell>
        </row>
        <row r="78">
          <cell r="D78">
            <v>11000</v>
          </cell>
        </row>
        <row r="79">
          <cell r="D79">
            <v>11000</v>
          </cell>
        </row>
        <row r="80">
          <cell r="D80">
            <v>11000</v>
          </cell>
        </row>
        <row r="81">
          <cell r="D81">
            <v>11000</v>
          </cell>
        </row>
        <row r="82">
          <cell r="D82">
            <v>11000</v>
          </cell>
        </row>
        <row r="83">
          <cell r="D83">
            <v>11000</v>
          </cell>
        </row>
        <row r="84">
          <cell r="D84">
            <v>11000</v>
          </cell>
        </row>
        <row r="85">
          <cell r="D85">
            <v>11000</v>
          </cell>
        </row>
        <row r="86">
          <cell r="D86">
            <v>11000</v>
          </cell>
        </row>
        <row r="87">
          <cell r="D87">
            <v>11000</v>
          </cell>
        </row>
        <row r="88">
          <cell r="D88">
            <v>11000</v>
          </cell>
        </row>
        <row r="89">
          <cell r="D89">
            <v>11000</v>
          </cell>
        </row>
        <row r="90">
          <cell r="D90">
            <v>22000</v>
          </cell>
        </row>
        <row r="91">
          <cell r="D91">
            <v>22000</v>
          </cell>
        </row>
        <row r="92">
          <cell r="D92">
            <v>22000</v>
          </cell>
        </row>
        <row r="93">
          <cell r="D93">
            <v>22000</v>
          </cell>
        </row>
        <row r="94">
          <cell r="D94">
            <v>22000</v>
          </cell>
        </row>
        <row r="95">
          <cell r="D95">
            <v>22000</v>
          </cell>
        </row>
        <row r="96">
          <cell r="D96">
            <v>22000</v>
          </cell>
        </row>
        <row r="97">
          <cell r="D97">
            <v>22000</v>
          </cell>
        </row>
        <row r="98">
          <cell r="D98">
            <v>22000</v>
          </cell>
        </row>
        <row r="99">
          <cell r="D99">
            <v>22000</v>
          </cell>
        </row>
        <row r="100">
          <cell r="D100">
            <v>22000</v>
          </cell>
        </row>
        <row r="101">
          <cell r="D101">
            <v>22000</v>
          </cell>
        </row>
        <row r="102">
          <cell r="D102">
            <v>22000</v>
          </cell>
        </row>
        <row r="103">
          <cell r="D103">
            <v>22000</v>
          </cell>
        </row>
        <row r="104">
          <cell r="D104">
            <v>22000</v>
          </cell>
        </row>
        <row r="105">
          <cell r="D105">
            <v>22000</v>
          </cell>
        </row>
        <row r="106">
          <cell r="D106">
            <v>22000</v>
          </cell>
        </row>
        <row r="107">
          <cell r="D107">
            <v>22000</v>
          </cell>
        </row>
        <row r="108">
          <cell r="D108">
            <v>22000</v>
          </cell>
        </row>
        <row r="109">
          <cell r="D109">
            <v>22000</v>
          </cell>
        </row>
        <row r="110">
          <cell r="D110">
            <v>22000</v>
          </cell>
        </row>
        <row r="111">
          <cell r="D111">
            <v>22000</v>
          </cell>
        </row>
        <row r="112">
          <cell r="D112">
            <v>22000</v>
          </cell>
        </row>
        <row r="113">
          <cell r="D113">
            <v>22000</v>
          </cell>
        </row>
        <row r="114">
          <cell r="D114">
            <v>22000</v>
          </cell>
        </row>
        <row r="115">
          <cell r="D115">
            <v>22000</v>
          </cell>
        </row>
        <row r="116">
          <cell r="D116">
            <v>22000</v>
          </cell>
        </row>
        <row r="117">
          <cell r="D117">
            <v>22000</v>
          </cell>
        </row>
        <row r="118">
          <cell r="D118">
            <v>22000</v>
          </cell>
        </row>
        <row r="119">
          <cell r="D119">
            <v>22000</v>
          </cell>
        </row>
        <row r="120">
          <cell r="D120">
            <v>22000</v>
          </cell>
        </row>
        <row r="121">
          <cell r="D121">
            <v>22000</v>
          </cell>
        </row>
        <row r="122">
          <cell r="D122">
            <v>22000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07"/>
    </sheetNames>
    <sheetDataSet>
      <sheetData sheetId="0">
        <row r="121">
          <cell r="D121">
            <v>2300000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08"/>
    </sheetNames>
    <sheetDataSet>
      <sheetData sheetId="0">
        <row r="121">
          <cell r="D121">
            <v>2225000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09"/>
    </sheetNames>
    <sheetDataSet>
      <sheetData sheetId="0">
        <row r="121">
          <cell r="D121">
            <v>2100000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10"/>
    </sheetNames>
    <sheetDataSet>
      <sheetData sheetId="0">
        <row r="119">
          <cell r="D119">
            <v>2160000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11"/>
    </sheetNames>
    <sheetDataSet>
      <sheetData sheetId="0">
        <row r="123">
          <cell r="D123">
            <v>1568000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212"/>
    </sheetNames>
    <sheetDataSet>
      <sheetData sheetId="0" refreshError="1">
        <row r="9">
          <cell r="D9">
            <v>19300</v>
          </cell>
        </row>
        <row r="10">
          <cell r="D10">
            <v>19300</v>
          </cell>
        </row>
        <row r="11">
          <cell r="D11">
            <v>19300</v>
          </cell>
        </row>
        <row r="12">
          <cell r="D12">
            <v>19300</v>
          </cell>
        </row>
        <row r="13">
          <cell r="D13">
            <v>19300</v>
          </cell>
        </row>
        <row r="14">
          <cell r="D14">
            <v>19300</v>
          </cell>
        </row>
        <row r="15">
          <cell r="D15">
            <v>19300</v>
          </cell>
        </row>
        <row r="16">
          <cell r="D16">
            <v>19300</v>
          </cell>
        </row>
        <row r="17">
          <cell r="D17">
            <v>19300</v>
          </cell>
        </row>
        <row r="18">
          <cell r="D18">
            <v>19300</v>
          </cell>
        </row>
        <row r="19">
          <cell r="D19">
            <v>19300</v>
          </cell>
        </row>
        <row r="20">
          <cell r="D20">
            <v>19300</v>
          </cell>
        </row>
        <row r="21">
          <cell r="D21">
            <v>19300</v>
          </cell>
        </row>
        <row r="22">
          <cell r="D22">
            <v>19300</v>
          </cell>
        </row>
        <row r="23">
          <cell r="D23">
            <v>19300</v>
          </cell>
        </row>
        <row r="24">
          <cell r="D24">
            <v>19300</v>
          </cell>
        </row>
        <row r="25">
          <cell r="D25">
            <v>19300</v>
          </cell>
        </row>
        <row r="26">
          <cell r="D26">
            <v>19300</v>
          </cell>
        </row>
        <row r="27">
          <cell r="D27">
            <v>19300</v>
          </cell>
        </row>
        <row r="28">
          <cell r="D28">
            <v>19300</v>
          </cell>
        </row>
        <row r="29">
          <cell r="D29">
            <v>19300</v>
          </cell>
        </row>
        <row r="30">
          <cell r="D30">
            <v>19300</v>
          </cell>
        </row>
        <row r="31">
          <cell r="D31">
            <v>19300</v>
          </cell>
        </row>
        <row r="32">
          <cell r="D32">
            <v>19300</v>
          </cell>
        </row>
        <row r="33">
          <cell r="D33">
            <v>19300</v>
          </cell>
        </row>
        <row r="34">
          <cell r="D34">
            <v>19300</v>
          </cell>
        </row>
        <row r="35">
          <cell r="D35">
            <v>19300</v>
          </cell>
        </row>
        <row r="36">
          <cell r="D36">
            <v>19300</v>
          </cell>
        </row>
        <row r="37">
          <cell r="D37">
            <v>19300</v>
          </cell>
        </row>
        <row r="38">
          <cell r="D38">
            <v>19300</v>
          </cell>
        </row>
        <row r="39">
          <cell r="D39">
            <v>19300</v>
          </cell>
        </row>
        <row r="40">
          <cell r="D40">
            <v>19300</v>
          </cell>
        </row>
        <row r="41">
          <cell r="D41">
            <v>19300</v>
          </cell>
        </row>
        <row r="42">
          <cell r="D42">
            <v>19300</v>
          </cell>
        </row>
        <row r="43">
          <cell r="D43">
            <v>19300</v>
          </cell>
        </row>
        <row r="44">
          <cell r="D44">
            <v>19300</v>
          </cell>
        </row>
        <row r="45">
          <cell r="D45">
            <v>19300</v>
          </cell>
        </row>
        <row r="46">
          <cell r="D46">
            <v>19300</v>
          </cell>
        </row>
        <row r="47">
          <cell r="D47">
            <v>19300</v>
          </cell>
        </row>
        <row r="48">
          <cell r="D48">
            <v>19300</v>
          </cell>
        </row>
        <row r="49">
          <cell r="D49">
            <v>19300</v>
          </cell>
        </row>
        <row r="50">
          <cell r="D50">
            <v>19300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213"/>
    </sheetNames>
    <sheetDataSet>
      <sheetData sheetId="0">
        <row r="123">
          <cell r="D123">
            <v>1600000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02"/>
      <sheetName val="NEW"/>
    </sheetNames>
    <sheetDataSet>
      <sheetData sheetId="0" refreshError="1">
        <row r="9">
          <cell r="D9">
            <v>8000</v>
          </cell>
        </row>
        <row r="10">
          <cell r="D10">
            <v>8000</v>
          </cell>
        </row>
        <row r="11">
          <cell r="D11">
            <v>8000</v>
          </cell>
        </row>
        <row r="12">
          <cell r="D12">
            <v>8000</v>
          </cell>
        </row>
        <row r="13">
          <cell r="D13">
            <v>8000</v>
          </cell>
        </row>
        <row r="14">
          <cell r="D14">
            <v>8000</v>
          </cell>
        </row>
        <row r="15">
          <cell r="D15">
            <v>8000</v>
          </cell>
        </row>
        <row r="16">
          <cell r="D16">
            <v>8000</v>
          </cell>
        </row>
        <row r="17">
          <cell r="D17">
            <v>8000</v>
          </cell>
        </row>
        <row r="18">
          <cell r="D18">
            <v>8000</v>
          </cell>
        </row>
        <row r="19">
          <cell r="D19">
            <v>8000</v>
          </cell>
        </row>
        <row r="20">
          <cell r="D20">
            <v>8000</v>
          </cell>
        </row>
        <row r="21">
          <cell r="D21">
            <v>8000</v>
          </cell>
        </row>
        <row r="22">
          <cell r="D22">
            <v>8000</v>
          </cell>
        </row>
        <row r="23">
          <cell r="D23">
            <v>8000</v>
          </cell>
        </row>
        <row r="24">
          <cell r="D24">
            <v>8000</v>
          </cell>
        </row>
        <row r="25">
          <cell r="D25">
            <v>8000</v>
          </cell>
        </row>
        <row r="26">
          <cell r="D26">
            <v>8000</v>
          </cell>
        </row>
        <row r="27">
          <cell r="D27">
            <v>8000</v>
          </cell>
        </row>
        <row r="28">
          <cell r="D28">
            <v>8000</v>
          </cell>
        </row>
        <row r="29">
          <cell r="D29">
            <v>8000</v>
          </cell>
        </row>
        <row r="30">
          <cell r="D30">
            <v>8000</v>
          </cell>
        </row>
        <row r="31">
          <cell r="D31">
            <v>8000</v>
          </cell>
        </row>
        <row r="32">
          <cell r="D32">
            <v>8000</v>
          </cell>
        </row>
        <row r="33">
          <cell r="D33">
            <v>8000</v>
          </cell>
        </row>
        <row r="34">
          <cell r="D34">
            <v>8000</v>
          </cell>
        </row>
        <row r="35">
          <cell r="D35">
            <v>8000</v>
          </cell>
        </row>
        <row r="36">
          <cell r="D36">
            <v>8000</v>
          </cell>
        </row>
        <row r="37">
          <cell r="D37">
            <v>8000</v>
          </cell>
        </row>
        <row r="38">
          <cell r="D38">
            <v>8000</v>
          </cell>
        </row>
        <row r="39">
          <cell r="D39">
            <v>8000</v>
          </cell>
        </row>
        <row r="40">
          <cell r="D40">
            <v>8000</v>
          </cell>
        </row>
        <row r="41">
          <cell r="D41">
            <v>8000</v>
          </cell>
        </row>
        <row r="42">
          <cell r="D42">
            <v>8000</v>
          </cell>
        </row>
        <row r="43">
          <cell r="D43">
            <v>8000</v>
          </cell>
        </row>
        <row r="44">
          <cell r="D44">
            <v>8000</v>
          </cell>
        </row>
        <row r="45">
          <cell r="D45">
            <v>8000</v>
          </cell>
        </row>
        <row r="46">
          <cell r="D46">
            <v>8000</v>
          </cell>
        </row>
        <row r="47">
          <cell r="D47">
            <v>8000</v>
          </cell>
        </row>
        <row r="48">
          <cell r="D48">
            <v>8000</v>
          </cell>
        </row>
        <row r="49">
          <cell r="D49">
            <v>8000</v>
          </cell>
        </row>
        <row r="50">
          <cell r="D50">
            <v>8000</v>
          </cell>
        </row>
        <row r="51">
          <cell r="D51">
            <v>8000</v>
          </cell>
        </row>
        <row r="52">
          <cell r="D52">
            <v>8000</v>
          </cell>
        </row>
      </sheetData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04"/>
    </sheetNames>
    <sheetDataSet>
      <sheetData sheetId="0">
        <row r="121">
          <cell r="D121">
            <v>1725000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06"/>
    </sheetNames>
    <sheetDataSet>
      <sheetData sheetId="0" refreshError="1">
        <row r="121">
          <cell r="D121">
            <v>992000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07"/>
    </sheetNames>
    <sheetDataSet>
      <sheetData sheetId="0">
        <row r="121">
          <cell r="D121">
            <v>2046000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08"/>
    </sheetNames>
    <sheetDataSet>
      <sheetData sheetId="0">
        <row r="123">
          <cell r="D123">
            <v>2200000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10"/>
    </sheetNames>
    <sheetDataSet>
      <sheetData sheetId="0">
        <row r="123">
          <cell r="D123">
            <v>2156000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11"/>
    </sheetNames>
    <sheetDataSet>
      <sheetData sheetId="0">
        <row r="121">
          <cell r="D121">
            <v>2156000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12"/>
    </sheetNames>
    <sheetDataSet>
      <sheetData sheetId="0" refreshError="1">
        <row r="9">
          <cell r="D9">
            <v>19300</v>
          </cell>
        </row>
        <row r="10">
          <cell r="D10">
            <v>19300</v>
          </cell>
        </row>
        <row r="11">
          <cell r="D11">
            <v>19300</v>
          </cell>
        </row>
        <row r="12">
          <cell r="D12">
            <v>19300</v>
          </cell>
        </row>
        <row r="13">
          <cell r="D13">
            <v>19300</v>
          </cell>
        </row>
        <row r="14">
          <cell r="D14">
            <v>19300</v>
          </cell>
        </row>
        <row r="15">
          <cell r="D15">
            <v>19300</v>
          </cell>
        </row>
        <row r="16">
          <cell r="D16">
            <v>19300</v>
          </cell>
        </row>
        <row r="17">
          <cell r="D17">
            <v>19300</v>
          </cell>
        </row>
        <row r="18">
          <cell r="D18">
            <v>19300</v>
          </cell>
        </row>
        <row r="19">
          <cell r="D19">
            <v>19300</v>
          </cell>
        </row>
        <row r="20">
          <cell r="D20">
            <v>19300</v>
          </cell>
        </row>
        <row r="21">
          <cell r="D21">
            <v>19300</v>
          </cell>
        </row>
        <row r="22">
          <cell r="D22">
            <v>19300</v>
          </cell>
        </row>
        <row r="23">
          <cell r="D23">
            <v>19300</v>
          </cell>
        </row>
        <row r="24">
          <cell r="D24">
            <v>19300</v>
          </cell>
        </row>
        <row r="25">
          <cell r="D25">
            <v>19300</v>
          </cell>
        </row>
        <row r="26">
          <cell r="D26">
            <v>19300</v>
          </cell>
        </row>
        <row r="27">
          <cell r="D27">
            <v>19300</v>
          </cell>
        </row>
        <row r="28">
          <cell r="D28">
            <v>19300</v>
          </cell>
        </row>
        <row r="29">
          <cell r="D29">
            <v>19300</v>
          </cell>
        </row>
        <row r="30">
          <cell r="D30">
            <v>19300</v>
          </cell>
        </row>
        <row r="31">
          <cell r="D31">
            <v>19300</v>
          </cell>
        </row>
        <row r="32">
          <cell r="D32">
            <v>19300</v>
          </cell>
        </row>
        <row r="33">
          <cell r="D33">
            <v>19300</v>
          </cell>
        </row>
        <row r="34">
          <cell r="D34">
            <v>19300</v>
          </cell>
        </row>
        <row r="35">
          <cell r="D35">
            <v>19300</v>
          </cell>
        </row>
        <row r="36">
          <cell r="D36">
            <v>19300</v>
          </cell>
        </row>
        <row r="37">
          <cell r="D37">
            <v>19300</v>
          </cell>
        </row>
        <row r="38">
          <cell r="D38">
            <v>19300</v>
          </cell>
        </row>
        <row r="39">
          <cell r="D39">
            <v>19300</v>
          </cell>
        </row>
        <row r="40">
          <cell r="D40">
            <v>19300</v>
          </cell>
        </row>
        <row r="41">
          <cell r="D41">
            <v>19300</v>
          </cell>
        </row>
        <row r="42">
          <cell r="D42">
            <v>19300</v>
          </cell>
        </row>
        <row r="43">
          <cell r="D43">
            <v>19300</v>
          </cell>
        </row>
        <row r="44">
          <cell r="D44">
            <v>19300</v>
          </cell>
        </row>
        <row r="45">
          <cell r="D45">
            <v>19300</v>
          </cell>
        </row>
        <row r="46">
          <cell r="D46">
            <v>19300</v>
          </cell>
        </row>
        <row r="47">
          <cell r="D47">
            <v>19300</v>
          </cell>
        </row>
        <row r="48">
          <cell r="D48">
            <v>19300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13 "/>
    </sheetNames>
    <sheetDataSet>
      <sheetData sheetId="0">
        <row r="69">
          <cell r="D69">
            <v>1530000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14"/>
      <sheetName val="new"/>
    </sheetNames>
    <sheetDataSet>
      <sheetData sheetId="0" refreshError="1">
        <row r="9">
          <cell r="D9">
            <v>8000</v>
          </cell>
        </row>
        <row r="10">
          <cell r="D10">
            <v>8000</v>
          </cell>
        </row>
        <row r="11">
          <cell r="D11">
            <v>8000</v>
          </cell>
        </row>
        <row r="12">
          <cell r="D12">
            <v>8000</v>
          </cell>
        </row>
        <row r="13">
          <cell r="D13">
            <v>8000</v>
          </cell>
        </row>
        <row r="14">
          <cell r="D14">
            <v>8000</v>
          </cell>
        </row>
        <row r="15">
          <cell r="D15">
            <v>8000</v>
          </cell>
        </row>
        <row r="16">
          <cell r="D16">
            <v>8000</v>
          </cell>
        </row>
        <row r="17">
          <cell r="D17">
            <v>8000</v>
          </cell>
        </row>
        <row r="18">
          <cell r="D18">
            <v>8000</v>
          </cell>
        </row>
        <row r="19">
          <cell r="D19">
            <v>8000</v>
          </cell>
        </row>
        <row r="20">
          <cell r="D20">
            <v>8000</v>
          </cell>
        </row>
        <row r="21">
          <cell r="D21">
            <v>8000</v>
          </cell>
        </row>
        <row r="22">
          <cell r="D22">
            <v>8000</v>
          </cell>
        </row>
        <row r="23">
          <cell r="D23">
            <v>8000</v>
          </cell>
        </row>
        <row r="24">
          <cell r="D24">
            <v>8000</v>
          </cell>
        </row>
        <row r="25">
          <cell r="D25">
            <v>8000</v>
          </cell>
        </row>
        <row r="26">
          <cell r="D26">
            <v>8000</v>
          </cell>
        </row>
        <row r="27">
          <cell r="D27">
            <v>8000</v>
          </cell>
        </row>
        <row r="28">
          <cell r="D28">
            <v>8000</v>
          </cell>
        </row>
        <row r="29">
          <cell r="D29">
            <v>8000</v>
          </cell>
        </row>
        <row r="30">
          <cell r="D30">
            <v>8000</v>
          </cell>
        </row>
        <row r="31">
          <cell r="D31">
            <v>8000</v>
          </cell>
        </row>
        <row r="32">
          <cell r="D32">
            <v>8000</v>
          </cell>
        </row>
        <row r="33">
          <cell r="D33">
            <v>8000</v>
          </cell>
        </row>
        <row r="34">
          <cell r="D34">
            <v>8000</v>
          </cell>
        </row>
        <row r="35">
          <cell r="D35">
            <v>8000</v>
          </cell>
        </row>
        <row r="36">
          <cell r="D36">
            <v>8000</v>
          </cell>
        </row>
        <row r="37">
          <cell r="D37">
            <v>8000</v>
          </cell>
        </row>
        <row r="38">
          <cell r="D38">
            <v>8000</v>
          </cell>
        </row>
        <row r="39">
          <cell r="D39">
            <v>8000</v>
          </cell>
        </row>
        <row r="40">
          <cell r="D40">
            <v>8000</v>
          </cell>
        </row>
        <row r="41">
          <cell r="D41">
            <v>8000</v>
          </cell>
        </row>
        <row r="42">
          <cell r="D42">
            <v>8000</v>
          </cell>
        </row>
        <row r="43">
          <cell r="D43">
            <v>8000</v>
          </cell>
        </row>
        <row r="44">
          <cell r="D44">
            <v>8000</v>
          </cell>
        </row>
        <row r="45">
          <cell r="D45">
            <v>8000</v>
          </cell>
        </row>
        <row r="46">
          <cell r="D46">
            <v>8000</v>
          </cell>
        </row>
        <row r="47">
          <cell r="D47">
            <v>8000</v>
          </cell>
        </row>
        <row r="48">
          <cell r="D48">
            <v>8000</v>
          </cell>
        </row>
        <row r="49">
          <cell r="D49">
            <v>8000</v>
          </cell>
        </row>
        <row r="50">
          <cell r="D50">
            <v>8000</v>
          </cell>
        </row>
        <row r="51">
          <cell r="D51">
            <v>8000</v>
          </cell>
        </row>
        <row r="52">
          <cell r="D52">
            <v>8000</v>
          </cell>
        </row>
        <row r="53">
          <cell r="D53">
            <v>8000</v>
          </cell>
        </row>
        <row r="54">
          <cell r="D54">
            <v>8000</v>
          </cell>
        </row>
        <row r="55">
          <cell r="D55">
            <v>8000</v>
          </cell>
        </row>
      </sheetData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314"/>
    </sheetNames>
    <sheetDataSet>
      <sheetData sheetId="0">
        <row r="45">
          <cell r="D45">
            <v>186000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04."/>
    </sheetNames>
    <sheetDataSet>
      <sheetData sheetId="0">
        <row r="45">
          <cell r="D45">
            <v>186000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05"/>
    </sheetNames>
    <sheetDataSet>
      <sheetData sheetId="0">
        <row r="121">
          <cell r="D121">
            <v>1911000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07"/>
    </sheetNames>
    <sheetDataSet>
      <sheetData sheetId="0">
        <row r="121">
          <cell r="D121">
            <v>2700000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09"/>
    </sheetNames>
    <sheetDataSet>
      <sheetData sheetId="0">
        <row r="109">
          <cell r="D109">
            <v>2325000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10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10"/>
    </sheetNames>
    <sheetDataSet>
      <sheetData sheetId="0">
        <row r="45">
          <cell r="D45">
            <v>279000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11"/>
    </sheetNames>
    <sheetDataSet>
      <sheetData sheetId="0" refreshError="1">
        <row r="9">
          <cell r="D9">
            <v>21000</v>
          </cell>
        </row>
        <row r="10">
          <cell r="D10">
            <v>21000</v>
          </cell>
        </row>
        <row r="11">
          <cell r="D11">
            <v>21000</v>
          </cell>
        </row>
        <row r="12">
          <cell r="D12">
            <v>21000</v>
          </cell>
        </row>
        <row r="13">
          <cell r="D13">
            <v>21000</v>
          </cell>
        </row>
        <row r="14">
          <cell r="D14">
            <v>21000</v>
          </cell>
        </row>
        <row r="15">
          <cell r="D15">
            <v>21000</v>
          </cell>
        </row>
        <row r="16">
          <cell r="D16">
            <v>21000</v>
          </cell>
        </row>
        <row r="17">
          <cell r="D17">
            <v>21000</v>
          </cell>
        </row>
        <row r="18">
          <cell r="D18">
            <v>21000</v>
          </cell>
        </row>
        <row r="19">
          <cell r="D19">
            <v>21000</v>
          </cell>
        </row>
        <row r="20">
          <cell r="D20">
            <v>21000</v>
          </cell>
        </row>
        <row r="21">
          <cell r="D21">
            <v>21000</v>
          </cell>
        </row>
        <row r="22">
          <cell r="D22">
            <v>21000</v>
          </cell>
        </row>
        <row r="23">
          <cell r="D23">
            <v>21000</v>
          </cell>
        </row>
        <row r="24">
          <cell r="D24">
            <v>21000</v>
          </cell>
        </row>
        <row r="25">
          <cell r="D25">
            <v>21000</v>
          </cell>
        </row>
        <row r="26">
          <cell r="D26">
            <v>21000</v>
          </cell>
        </row>
        <row r="27">
          <cell r="D27">
            <v>21000</v>
          </cell>
        </row>
        <row r="28">
          <cell r="D28">
            <v>21000</v>
          </cell>
        </row>
        <row r="29">
          <cell r="D29">
            <v>21000</v>
          </cell>
        </row>
        <row r="30">
          <cell r="D30">
            <v>21000</v>
          </cell>
        </row>
        <row r="31">
          <cell r="D31">
            <v>21000</v>
          </cell>
        </row>
        <row r="32">
          <cell r="D32">
            <v>21000</v>
          </cell>
        </row>
        <row r="33">
          <cell r="D33">
            <v>21000</v>
          </cell>
        </row>
        <row r="34">
          <cell r="D34">
            <v>21000</v>
          </cell>
        </row>
        <row r="35">
          <cell r="D35">
            <v>21000</v>
          </cell>
        </row>
        <row r="36">
          <cell r="D36">
            <v>21000</v>
          </cell>
        </row>
        <row r="37">
          <cell r="D37">
            <v>21000</v>
          </cell>
        </row>
        <row r="38">
          <cell r="D38">
            <v>21000</v>
          </cell>
        </row>
        <row r="39">
          <cell r="D39">
            <v>21000</v>
          </cell>
        </row>
        <row r="40">
          <cell r="D40">
            <v>21000</v>
          </cell>
        </row>
        <row r="41">
          <cell r="D41">
            <v>21000</v>
          </cell>
        </row>
        <row r="42">
          <cell r="D42">
            <v>21000</v>
          </cell>
        </row>
        <row r="43">
          <cell r="D43">
            <v>21000</v>
          </cell>
        </row>
        <row r="44">
          <cell r="D44">
            <v>21000</v>
          </cell>
        </row>
        <row r="45">
          <cell r="D45">
            <v>21000</v>
          </cell>
        </row>
        <row r="46">
          <cell r="D46">
            <v>21000</v>
          </cell>
        </row>
        <row r="47">
          <cell r="D47">
            <v>21000</v>
          </cell>
        </row>
        <row r="48">
          <cell r="D48">
            <v>21000</v>
          </cell>
        </row>
        <row r="49">
          <cell r="D49">
            <v>21000</v>
          </cell>
        </row>
        <row r="50">
          <cell r="D50">
            <v>21000</v>
          </cell>
        </row>
        <row r="51">
          <cell r="D51">
            <v>21000</v>
          </cell>
        </row>
        <row r="52">
          <cell r="D52">
            <v>21000</v>
          </cell>
        </row>
        <row r="53">
          <cell r="D53">
            <v>21000</v>
          </cell>
        </row>
        <row r="54">
          <cell r="D54">
            <v>21000</v>
          </cell>
        </row>
        <row r="55">
          <cell r="D55">
            <v>21000</v>
          </cell>
        </row>
        <row r="56">
          <cell r="D56">
            <v>21000</v>
          </cell>
        </row>
        <row r="57">
          <cell r="D57">
            <v>21000</v>
          </cell>
        </row>
        <row r="58">
          <cell r="D58">
            <v>21000</v>
          </cell>
        </row>
        <row r="59">
          <cell r="D59">
            <v>21000</v>
          </cell>
        </row>
        <row r="60">
          <cell r="D60">
            <v>21000</v>
          </cell>
        </row>
        <row r="61">
          <cell r="D61">
            <v>21000</v>
          </cell>
        </row>
        <row r="62">
          <cell r="D62">
            <v>21000</v>
          </cell>
        </row>
        <row r="63">
          <cell r="D63">
            <v>21000</v>
          </cell>
        </row>
        <row r="64">
          <cell r="D64">
            <v>21000</v>
          </cell>
        </row>
        <row r="65">
          <cell r="D65">
            <v>21000</v>
          </cell>
        </row>
        <row r="66">
          <cell r="D66">
            <v>21000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Bank"/>
      <sheetName val="Master File"/>
      <sheetName val="Sheet3"/>
    </sheetNames>
    <sheetDataSet>
      <sheetData sheetId="0"/>
      <sheetData sheetId="1"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3">
          <cell r="D93">
            <v>0</v>
          </cell>
        </row>
        <row r="97">
          <cell r="D97">
            <v>0</v>
          </cell>
        </row>
        <row r="99">
          <cell r="D99">
            <v>0</v>
          </cell>
        </row>
        <row r="100">
          <cell r="D100">
            <v>0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</v>
          </cell>
        </row>
        <row r="106">
          <cell r="D106">
            <v>0</v>
          </cell>
        </row>
        <row r="107">
          <cell r="D107">
            <v>0</v>
          </cell>
        </row>
        <row r="108">
          <cell r="D108">
            <v>0</v>
          </cell>
        </row>
        <row r="109">
          <cell r="D109">
            <v>0</v>
          </cell>
        </row>
        <row r="111">
          <cell r="D111">
            <v>0</v>
          </cell>
        </row>
        <row r="112">
          <cell r="D112">
            <v>0</v>
          </cell>
        </row>
        <row r="113">
          <cell r="D113">
            <v>0</v>
          </cell>
        </row>
        <row r="117">
          <cell r="D117">
            <v>0</v>
          </cell>
        </row>
        <row r="119">
          <cell r="D119">
            <v>0</v>
          </cell>
        </row>
        <row r="120">
          <cell r="D120">
            <v>0</v>
          </cell>
        </row>
      </sheetData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11"/>
    </sheetNames>
    <sheetDataSet>
      <sheetData sheetId="0">
        <row r="40">
          <cell r="D40">
            <v>217000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12"/>
    </sheetNames>
    <sheetDataSet>
      <sheetData sheetId="0" refreshError="1">
        <row r="9">
          <cell r="D9">
            <v>15400</v>
          </cell>
        </row>
        <row r="10">
          <cell r="D10">
            <v>15400</v>
          </cell>
        </row>
        <row r="11">
          <cell r="D11">
            <v>15400</v>
          </cell>
        </row>
        <row r="12">
          <cell r="D12">
            <v>15400</v>
          </cell>
        </row>
        <row r="13">
          <cell r="D13">
            <v>15400</v>
          </cell>
        </row>
        <row r="14">
          <cell r="D14">
            <v>15400</v>
          </cell>
        </row>
        <row r="15">
          <cell r="D15">
            <v>15400</v>
          </cell>
        </row>
        <row r="16">
          <cell r="D16">
            <v>15400</v>
          </cell>
        </row>
        <row r="17">
          <cell r="D17">
            <v>15400</v>
          </cell>
        </row>
        <row r="18">
          <cell r="D18">
            <v>15400</v>
          </cell>
        </row>
        <row r="19">
          <cell r="D19">
            <v>15400</v>
          </cell>
        </row>
        <row r="20">
          <cell r="D20">
            <v>15400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13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414"/>
    </sheetNames>
    <sheetDataSet>
      <sheetData sheetId="0">
        <row r="121">
          <cell r="D121">
            <v>2700000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1"/>
    </sheetNames>
    <sheetDataSet>
      <sheetData sheetId="0">
        <row r="45">
          <cell r="D45">
            <v>186000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2 Amit Aggarwal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2"/>
    </sheetNames>
    <sheetDataSet>
      <sheetData sheetId="0">
        <row r="45">
          <cell r="D45">
            <v>403000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3"/>
    </sheetNames>
    <sheetDataSet>
      <sheetData sheetId="0" refreshError="1">
        <row r="123">
          <cell r="D123">
            <v>1600000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3"/>
    </sheetNames>
    <sheetDataSet>
      <sheetData sheetId="0">
        <row r="45">
          <cell r="D45">
            <v>128000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4"/>
    </sheetNames>
    <sheetDataSet>
      <sheetData sheetId="0">
        <row r="121">
          <cell r="D121">
            <v>1635000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5"/>
    </sheetNames>
    <sheetDataSet>
      <sheetData sheetId="0">
        <row r="123">
          <cell r="D123">
            <v>2178000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6"/>
    </sheetNames>
    <sheetDataSet>
      <sheetData sheetId="0">
        <row r="109">
          <cell r="D109">
            <v>1590000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7 VEENA SAHNI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8"/>
    </sheetNames>
    <sheetDataSet>
      <sheetData sheetId="0">
        <row r="45">
          <cell r="D45">
            <v>279000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09 KETIKI SINGH SHASTRI"/>
    </sheetNames>
    <sheetDataSet>
      <sheetData sheetId="0">
        <row r="121">
          <cell r="D121">
            <v>1596000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510 VANDANA PARASHAR"/>
    </sheetNames>
    <sheetDataSet>
      <sheetData sheetId="0" refreshError="1">
        <row r="9">
          <cell r="D9">
            <v>21000</v>
          </cell>
        </row>
        <row r="10">
          <cell r="D10">
            <v>21000</v>
          </cell>
        </row>
        <row r="11">
          <cell r="D11">
            <v>21000</v>
          </cell>
        </row>
        <row r="12">
          <cell r="D12">
            <v>21000</v>
          </cell>
        </row>
        <row r="13">
          <cell r="D13">
            <v>21000</v>
          </cell>
        </row>
        <row r="14">
          <cell r="D14">
            <v>21000</v>
          </cell>
        </row>
        <row r="15">
          <cell r="D15">
            <v>21000</v>
          </cell>
        </row>
        <row r="16">
          <cell r="D16">
            <v>21000</v>
          </cell>
        </row>
        <row r="17">
          <cell r="D17">
            <v>21000</v>
          </cell>
        </row>
        <row r="18">
          <cell r="D18">
            <v>21000</v>
          </cell>
        </row>
        <row r="19">
          <cell r="D19">
            <v>21000</v>
          </cell>
        </row>
        <row r="20">
          <cell r="D20">
            <v>21000</v>
          </cell>
        </row>
        <row r="21">
          <cell r="D21">
            <v>21000</v>
          </cell>
        </row>
        <row r="22">
          <cell r="D22">
            <v>21000</v>
          </cell>
        </row>
        <row r="23">
          <cell r="D23">
            <v>21000</v>
          </cell>
        </row>
        <row r="24">
          <cell r="D24">
            <v>21000</v>
          </cell>
        </row>
        <row r="25">
          <cell r="D25">
            <v>21000</v>
          </cell>
        </row>
        <row r="26">
          <cell r="D26">
            <v>21000</v>
          </cell>
        </row>
        <row r="27">
          <cell r="D27">
            <v>21000</v>
          </cell>
        </row>
        <row r="28">
          <cell r="D28">
            <v>21000</v>
          </cell>
        </row>
        <row r="29">
          <cell r="D29">
            <v>21000</v>
          </cell>
        </row>
        <row r="30">
          <cell r="D30">
            <v>21000</v>
          </cell>
        </row>
        <row r="31">
          <cell r="D31">
            <v>21000</v>
          </cell>
        </row>
        <row r="32">
          <cell r="D32">
            <v>21000</v>
          </cell>
        </row>
        <row r="33">
          <cell r="D33">
            <v>21000</v>
          </cell>
        </row>
        <row r="34">
          <cell r="D34">
            <v>21000</v>
          </cell>
        </row>
        <row r="35">
          <cell r="D35">
            <v>21000</v>
          </cell>
        </row>
        <row r="36">
          <cell r="D36">
            <v>21000</v>
          </cell>
        </row>
        <row r="37">
          <cell r="D37">
            <v>21000</v>
          </cell>
        </row>
        <row r="38">
          <cell r="D38">
            <v>21000</v>
          </cell>
        </row>
        <row r="39">
          <cell r="D39">
            <v>21000</v>
          </cell>
        </row>
        <row r="40">
          <cell r="D40">
            <v>21000</v>
          </cell>
        </row>
        <row r="41">
          <cell r="D41">
            <v>21000</v>
          </cell>
        </row>
        <row r="42">
          <cell r="D42">
            <v>21000</v>
          </cell>
        </row>
        <row r="43">
          <cell r="D43">
            <v>21000</v>
          </cell>
        </row>
        <row r="44">
          <cell r="D44">
            <v>21000</v>
          </cell>
        </row>
        <row r="45">
          <cell r="D45">
            <v>21000</v>
          </cell>
        </row>
        <row r="46">
          <cell r="D46">
            <v>21000</v>
          </cell>
        </row>
        <row r="47">
          <cell r="D47">
            <v>21000</v>
          </cell>
        </row>
        <row r="48">
          <cell r="D48">
            <v>21000</v>
          </cell>
        </row>
        <row r="49">
          <cell r="D49">
            <v>21000</v>
          </cell>
        </row>
        <row r="50">
          <cell r="D50">
            <v>21000</v>
          </cell>
        </row>
        <row r="51">
          <cell r="D51">
            <v>21000</v>
          </cell>
        </row>
        <row r="52">
          <cell r="D52">
            <v>21000</v>
          </cell>
        </row>
        <row r="53">
          <cell r="D53">
            <v>21000</v>
          </cell>
        </row>
        <row r="54">
          <cell r="D54">
            <v>21000</v>
          </cell>
        </row>
        <row r="55">
          <cell r="D55">
            <v>21000</v>
          </cell>
        </row>
        <row r="56">
          <cell r="D56">
            <v>21000</v>
          </cell>
        </row>
        <row r="57">
          <cell r="D57">
            <v>21000</v>
          </cell>
        </row>
        <row r="58">
          <cell r="D58">
            <v>21000</v>
          </cell>
        </row>
        <row r="59">
          <cell r="D59">
            <v>21000</v>
          </cell>
        </row>
        <row r="60">
          <cell r="D60">
            <v>21000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510 VANDANA PARASHAR"/>
    </sheetNames>
    <sheetDataSet>
      <sheetData sheetId="0">
        <row r="61">
          <cell r="D61">
            <v>16000</v>
          </cell>
        </row>
        <row r="62">
          <cell r="D62">
            <v>16000</v>
          </cell>
        </row>
        <row r="63">
          <cell r="D63">
            <v>16000</v>
          </cell>
        </row>
        <row r="64">
          <cell r="D64">
            <v>16000</v>
          </cell>
        </row>
        <row r="65">
          <cell r="D65">
            <v>16000</v>
          </cell>
        </row>
        <row r="66">
          <cell r="D66">
            <v>16000</v>
          </cell>
        </row>
        <row r="67">
          <cell r="D67">
            <v>16000</v>
          </cell>
        </row>
        <row r="68">
          <cell r="D68">
            <v>16000</v>
          </cell>
        </row>
        <row r="69">
          <cell r="D69">
            <v>16000</v>
          </cell>
        </row>
        <row r="70">
          <cell r="D70">
            <v>16000</v>
          </cell>
        </row>
        <row r="71">
          <cell r="D71">
            <v>16000</v>
          </cell>
        </row>
        <row r="72">
          <cell r="D72">
            <v>8000</v>
          </cell>
        </row>
        <row r="73">
          <cell r="D73">
            <v>8000</v>
          </cell>
        </row>
        <row r="74">
          <cell r="D74">
            <v>8000</v>
          </cell>
        </row>
        <row r="75">
          <cell r="D75">
            <v>8000</v>
          </cell>
        </row>
        <row r="76">
          <cell r="D76">
            <v>8000</v>
          </cell>
        </row>
        <row r="77">
          <cell r="D77">
            <v>8000</v>
          </cell>
        </row>
        <row r="78">
          <cell r="D78">
            <v>8000</v>
          </cell>
        </row>
        <row r="79">
          <cell r="D79">
            <v>8000</v>
          </cell>
        </row>
        <row r="80">
          <cell r="D80">
            <v>8000</v>
          </cell>
        </row>
        <row r="81">
          <cell r="D81">
            <v>8000</v>
          </cell>
        </row>
        <row r="82">
          <cell r="D82">
            <v>8000</v>
          </cell>
        </row>
        <row r="83">
          <cell r="D83">
            <v>8000</v>
          </cell>
        </row>
        <row r="84">
          <cell r="D84">
            <v>8000</v>
          </cell>
        </row>
        <row r="85">
          <cell r="D85">
            <v>8000</v>
          </cell>
        </row>
        <row r="86">
          <cell r="D86">
            <v>8000</v>
          </cell>
        </row>
        <row r="87">
          <cell r="D87">
            <v>8000</v>
          </cell>
        </row>
        <row r="88">
          <cell r="D88">
            <v>8000</v>
          </cell>
        </row>
        <row r="89">
          <cell r="D89">
            <v>8000</v>
          </cell>
        </row>
        <row r="90">
          <cell r="D90">
            <v>8000</v>
          </cell>
        </row>
        <row r="91">
          <cell r="D91">
            <v>8000</v>
          </cell>
        </row>
        <row r="92">
          <cell r="D92">
            <v>8000</v>
          </cell>
        </row>
        <row r="93">
          <cell r="D93">
            <v>8000</v>
          </cell>
        </row>
        <row r="94">
          <cell r="D94">
            <v>8000</v>
          </cell>
        </row>
        <row r="95">
          <cell r="D95">
            <v>8000</v>
          </cell>
        </row>
        <row r="96">
          <cell r="D96">
            <v>8000</v>
          </cell>
        </row>
        <row r="97">
          <cell r="D97">
            <v>8000</v>
          </cell>
        </row>
        <row r="98">
          <cell r="D98">
            <v>8000</v>
          </cell>
        </row>
        <row r="99">
          <cell r="D99">
            <v>16000</v>
          </cell>
        </row>
        <row r="100">
          <cell r="D100">
            <v>16000</v>
          </cell>
        </row>
        <row r="101">
          <cell r="D101">
            <v>16000</v>
          </cell>
        </row>
        <row r="102">
          <cell r="D102">
            <v>16000</v>
          </cell>
        </row>
        <row r="103">
          <cell r="D103">
            <v>16000</v>
          </cell>
        </row>
        <row r="104">
          <cell r="D104">
            <v>16000</v>
          </cell>
        </row>
        <row r="105">
          <cell r="D105">
            <v>16000</v>
          </cell>
        </row>
        <row r="106">
          <cell r="D106">
            <v>16000</v>
          </cell>
        </row>
        <row r="107">
          <cell r="D107">
            <v>16000</v>
          </cell>
        </row>
        <row r="108">
          <cell r="D108">
            <v>16000</v>
          </cell>
        </row>
        <row r="109">
          <cell r="D109">
            <v>16000</v>
          </cell>
        </row>
        <row r="110">
          <cell r="D110">
            <v>16000</v>
          </cell>
        </row>
        <row r="111">
          <cell r="D111">
            <v>16000</v>
          </cell>
        </row>
        <row r="112">
          <cell r="D112">
            <v>16000</v>
          </cell>
        </row>
        <row r="113">
          <cell r="D113">
            <v>16000</v>
          </cell>
        </row>
        <row r="114">
          <cell r="D114">
            <v>16000</v>
          </cell>
        </row>
        <row r="115">
          <cell r="D115">
            <v>16000</v>
          </cell>
        </row>
        <row r="116">
          <cell r="D116">
            <v>16000</v>
          </cell>
        </row>
        <row r="117">
          <cell r="D117">
            <v>16000</v>
          </cell>
        </row>
        <row r="118">
          <cell r="D118">
            <v>16000</v>
          </cell>
        </row>
        <row r="119">
          <cell r="D119">
            <v>16000</v>
          </cell>
        </row>
        <row r="120">
          <cell r="D120">
            <v>16000</v>
          </cell>
        </row>
        <row r="121">
          <cell r="D121">
            <v>16000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11 USHA GANDHI"/>
    </sheetNames>
    <sheetDataSet>
      <sheetData sheetId="0">
        <row r="123">
          <cell r="D123">
            <v>2024000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13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514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1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2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3"/>
    </sheetNames>
    <sheetDataSet>
      <sheetData sheetId="0" refreshError="1">
        <row r="121">
          <cell r="D121">
            <v>1488000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3"/>
    </sheetNames>
    <sheetDataSet>
      <sheetData sheetId="0">
        <row r="45">
          <cell r="D45">
            <v>93000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4"/>
    </sheetNames>
    <sheetDataSet>
      <sheetData sheetId="0">
        <row r="121">
          <cell r="D121">
            <v>2200000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5"/>
    </sheetNames>
    <sheetDataSet>
      <sheetData sheetId="0" refreshError="1">
        <row r="123">
          <cell r="D123">
            <v>1980000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6"/>
      <sheetName val="Old"/>
    </sheetNames>
    <sheetDataSet>
      <sheetData sheetId="0">
        <row r="55">
          <cell r="D55">
            <v>8000</v>
          </cell>
        </row>
        <row r="56">
          <cell r="D56">
            <v>8000</v>
          </cell>
        </row>
        <row r="57">
          <cell r="D57">
            <v>8000</v>
          </cell>
        </row>
        <row r="58">
          <cell r="D58">
            <v>8000</v>
          </cell>
        </row>
        <row r="59">
          <cell r="D59">
            <v>8000</v>
          </cell>
        </row>
        <row r="60">
          <cell r="D60">
            <v>16000</v>
          </cell>
        </row>
        <row r="61">
          <cell r="D61">
            <v>16000</v>
          </cell>
        </row>
        <row r="62">
          <cell r="D62">
            <v>8000</v>
          </cell>
        </row>
        <row r="63">
          <cell r="D63">
            <v>16000</v>
          </cell>
        </row>
        <row r="64">
          <cell r="D64">
            <v>8000</v>
          </cell>
        </row>
        <row r="65">
          <cell r="D65">
            <v>16000</v>
          </cell>
        </row>
        <row r="66">
          <cell r="D66">
            <v>16000</v>
          </cell>
        </row>
        <row r="67">
          <cell r="D67">
            <v>8000</v>
          </cell>
        </row>
        <row r="68">
          <cell r="D68">
            <v>8000</v>
          </cell>
        </row>
        <row r="69">
          <cell r="D69">
            <v>8000</v>
          </cell>
        </row>
        <row r="70">
          <cell r="D70">
            <v>16000</v>
          </cell>
        </row>
        <row r="71">
          <cell r="D71">
            <v>8000</v>
          </cell>
        </row>
        <row r="72">
          <cell r="D72">
            <v>16000</v>
          </cell>
        </row>
        <row r="73">
          <cell r="D73">
            <v>8000</v>
          </cell>
        </row>
        <row r="74">
          <cell r="D74">
            <v>16000</v>
          </cell>
        </row>
        <row r="75">
          <cell r="D75">
            <v>8000</v>
          </cell>
        </row>
        <row r="76">
          <cell r="D76">
            <v>8000</v>
          </cell>
        </row>
        <row r="77">
          <cell r="D77">
            <v>8000</v>
          </cell>
        </row>
        <row r="78">
          <cell r="D78">
            <v>8000</v>
          </cell>
        </row>
        <row r="79">
          <cell r="D79">
            <v>8000</v>
          </cell>
        </row>
        <row r="80">
          <cell r="D80">
            <v>8000</v>
          </cell>
        </row>
        <row r="81">
          <cell r="D81">
            <v>8000</v>
          </cell>
        </row>
        <row r="82">
          <cell r="D82">
            <v>8000</v>
          </cell>
        </row>
        <row r="83">
          <cell r="D83">
            <v>8000</v>
          </cell>
        </row>
        <row r="84">
          <cell r="D84">
            <v>8000</v>
          </cell>
        </row>
        <row r="85">
          <cell r="D85">
            <v>8000</v>
          </cell>
        </row>
        <row r="86">
          <cell r="D86">
            <v>8000</v>
          </cell>
        </row>
        <row r="87">
          <cell r="D87">
            <v>8000</v>
          </cell>
        </row>
        <row r="88">
          <cell r="D88">
            <v>8000</v>
          </cell>
        </row>
        <row r="89">
          <cell r="D89">
            <v>8000</v>
          </cell>
        </row>
        <row r="90">
          <cell r="D90">
            <v>8000</v>
          </cell>
        </row>
        <row r="91">
          <cell r="D91">
            <v>16000</v>
          </cell>
        </row>
        <row r="92">
          <cell r="D92">
            <v>16000</v>
          </cell>
        </row>
        <row r="93">
          <cell r="D93">
            <v>16000</v>
          </cell>
        </row>
        <row r="94">
          <cell r="D94">
            <v>16000</v>
          </cell>
        </row>
        <row r="95">
          <cell r="D95">
            <v>16000</v>
          </cell>
        </row>
        <row r="96">
          <cell r="D96">
            <v>16000</v>
          </cell>
        </row>
        <row r="97">
          <cell r="D97">
            <v>16000</v>
          </cell>
        </row>
        <row r="98">
          <cell r="D98">
            <v>16000</v>
          </cell>
        </row>
        <row r="99">
          <cell r="D99">
            <v>16000</v>
          </cell>
        </row>
        <row r="100">
          <cell r="D100">
            <v>16000</v>
          </cell>
        </row>
        <row r="101">
          <cell r="D101">
            <v>16000</v>
          </cell>
        </row>
        <row r="102">
          <cell r="D102">
            <v>16000</v>
          </cell>
        </row>
        <row r="103">
          <cell r="D103">
            <v>16000</v>
          </cell>
        </row>
        <row r="104">
          <cell r="D104">
            <v>16000</v>
          </cell>
        </row>
        <row r="105">
          <cell r="D105">
            <v>16000</v>
          </cell>
        </row>
        <row r="106">
          <cell r="D106">
            <v>16000</v>
          </cell>
        </row>
        <row r="107">
          <cell r="D107">
            <v>16000</v>
          </cell>
        </row>
        <row r="108">
          <cell r="D108">
            <v>16000</v>
          </cell>
        </row>
        <row r="109">
          <cell r="D109">
            <v>16000</v>
          </cell>
        </row>
        <row r="110">
          <cell r="D110">
            <v>16000</v>
          </cell>
        </row>
        <row r="111">
          <cell r="D111">
            <v>16000</v>
          </cell>
        </row>
        <row r="112">
          <cell r="D112">
            <v>16000</v>
          </cell>
        </row>
      </sheetData>
      <sheetData sheetId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6"/>
    </sheetNames>
    <sheetDataSet>
      <sheetData sheetId="0">
        <row r="45">
          <cell r="D45">
            <v>186000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7"/>
    </sheetNames>
    <sheetDataSet>
      <sheetData sheetId="0" refreshError="1">
        <row r="123">
          <cell r="D123">
            <v>1892000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8"/>
    </sheetNames>
    <sheetDataSet>
      <sheetData sheetId="0" refreshError="1">
        <row r="121">
          <cell r="D121">
            <v>1485000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09"/>
    </sheetNames>
    <sheetDataSet>
      <sheetData sheetId="0" refreshError="1">
        <row r="9">
          <cell r="D9">
            <v>21000</v>
          </cell>
        </row>
        <row r="10">
          <cell r="D10">
            <v>21000</v>
          </cell>
        </row>
        <row r="11">
          <cell r="D11">
            <v>21000</v>
          </cell>
        </row>
        <row r="12">
          <cell r="D12">
            <v>21000</v>
          </cell>
        </row>
        <row r="13">
          <cell r="D13">
            <v>21000</v>
          </cell>
        </row>
        <row r="14">
          <cell r="D14">
            <v>21000</v>
          </cell>
        </row>
        <row r="15">
          <cell r="D15">
            <v>21000</v>
          </cell>
        </row>
        <row r="16">
          <cell r="D16">
            <v>21000</v>
          </cell>
        </row>
        <row r="17">
          <cell r="D17">
            <v>21000</v>
          </cell>
        </row>
        <row r="18">
          <cell r="D18">
            <v>21000</v>
          </cell>
        </row>
        <row r="19">
          <cell r="D19">
            <v>21000</v>
          </cell>
        </row>
        <row r="20">
          <cell r="D20">
            <v>21000</v>
          </cell>
        </row>
        <row r="21">
          <cell r="D21">
            <v>21000</v>
          </cell>
        </row>
        <row r="22">
          <cell r="D22">
            <v>21000</v>
          </cell>
        </row>
        <row r="23">
          <cell r="D23">
            <v>21000</v>
          </cell>
        </row>
        <row r="24">
          <cell r="D24">
            <v>21000</v>
          </cell>
        </row>
        <row r="25">
          <cell r="D25">
            <v>21000</v>
          </cell>
        </row>
        <row r="26">
          <cell r="D26">
            <v>21000</v>
          </cell>
        </row>
        <row r="27">
          <cell r="D27">
            <v>21000</v>
          </cell>
        </row>
        <row r="28">
          <cell r="D28">
            <v>21000</v>
          </cell>
        </row>
        <row r="29">
          <cell r="D29">
            <v>21000</v>
          </cell>
        </row>
        <row r="30">
          <cell r="D30">
            <v>21000</v>
          </cell>
        </row>
        <row r="31">
          <cell r="D31">
            <v>21000</v>
          </cell>
        </row>
        <row r="32">
          <cell r="D32">
            <v>21000</v>
          </cell>
        </row>
        <row r="33">
          <cell r="D33">
            <v>21000</v>
          </cell>
        </row>
        <row r="34">
          <cell r="D34">
            <v>21000</v>
          </cell>
        </row>
        <row r="35">
          <cell r="D35">
            <v>21000</v>
          </cell>
        </row>
        <row r="36">
          <cell r="D36">
            <v>21000</v>
          </cell>
        </row>
        <row r="37">
          <cell r="D37">
            <v>21000</v>
          </cell>
        </row>
        <row r="38">
          <cell r="D38">
            <v>21000</v>
          </cell>
        </row>
        <row r="39">
          <cell r="D39">
            <v>21000</v>
          </cell>
        </row>
        <row r="40">
          <cell r="D40">
            <v>21000</v>
          </cell>
        </row>
        <row r="41">
          <cell r="D41">
            <v>21000</v>
          </cell>
        </row>
        <row r="42">
          <cell r="D42">
            <v>21000</v>
          </cell>
        </row>
        <row r="43">
          <cell r="D43">
            <v>21000</v>
          </cell>
        </row>
        <row r="44">
          <cell r="D44">
            <v>21000</v>
          </cell>
        </row>
        <row r="45">
          <cell r="D45">
            <v>21000</v>
          </cell>
        </row>
        <row r="46">
          <cell r="D46">
            <v>21000</v>
          </cell>
        </row>
        <row r="47">
          <cell r="D47">
            <v>21000</v>
          </cell>
        </row>
        <row r="48">
          <cell r="D48">
            <v>21000</v>
          </cell>
        </row>
        <row r="49">
          <cell r="D49">
            <v>21000</v>
          </cell>
        </row>
        <row r="50">
          <cell r="D50">
            <v>21000</v>
          </cell>
        </row>
        <row r="51">
          <cell r="D51">
            <v>21000</v>
          </cell>
        </row>
        <row r="52">
          <cell r="D52">
            <v>21000</v>
          </cell>
        </row>
        <row r="53">
          <cell r="D53">
            <v>21000</v>
          </cell>
        </row>
        <row r="54">
          <cell r="D54">
            <v>21000</v>
          </cell>
        </row>
        <row r="55">
          <cell r="D55">
            <v>21000</v>
          </cell>
        </row>
        <row r="56">
          <cell r="D56">
            <v>21000</v>
          </cell>
        </row>
        <row r="57">
          <cell r="D57">
            <v>21000</v>
          </cell>
        </row>
        <row r="58">
          <cell r="D58">
            <v>21000</v>
          </cell>
        </row>
        <row r="59">
          <cell r="D59">
            <v>21000</v>
          </cell>
        </row>
        <row r="60">
          <cell r="D60">
            <v>21000</v>
          </cell>
        </row>
        <row r="61">
          <cell r="D61">
            <v>21000</v>
          </cell>
        </row>
        <row r="62">
          <cell r="D62">
            <v>21000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10"/>
    </sheetNames>
    <sheetDataSet>
      <sheetData sheetId="0" refreshError="1">
        <row r="9">
          <cell r="D9">
            <v>21000</v>
          </cell>
        </row>
        <row r="10">
          <cell r="D10">
            <v>21000</v>
          </cell>
        </row>
        <row r="11">
          <cell r="D11">
            <v>21000</v>
          </cell>
        </row>
        <row r="12">
          <cell r="D12">
            <v>21000</v>
          </cell>
        </row>
        <row r="13">
          <cell r="D13">
            <v>21000</v>
          </cell>
        </row>
        <row r="14">
          <cell r="D14">
            <v>21000</v>
          </cell>
        </row>
        <row r="15">
          <cell r="D15">
            <v>21000</v>
          </cell>
        </row>
        <row r="16">
          <cell r="D16">
            <v>21000</v>
          </cell>
        </row>
        <row r="17">
          <cell r="D17">
            <v>21000</v>
          </cell>
        </row>
        <row r="18">
          <cell r="D18">
            <v>21000</v>
          </cell>
        </row>
        <row r="19">
          <cell r="D19">
            <v>21000</v>
          </cell>
        </row>
        <row r="20">
          <cell r="D20">
            <v>21000</v>
          </cell>
        </row>
        <row r="21">
          <cell r="D21">
            <v>21000</v>
          </cell>
        </row>
        <row r="22">
          <cell r="D22">
            <v>21000</v>
          </cell>
        </row>
        <row r="23">
          <cell r="D23">
            <v>21000</v>
          </cell>
        </row>
        <row r="24">
          <cell r="D24">
            <v>21000</v>
          </cell>
        </row>
        <row r="25">
          <cell r="D25">
            <v>21000</v>
          </cell>
        </row>
        <row r="26">
          <cell r="D26">
            <v>21000</v>
          </cell>
        </row>
        <row r="27">
          <cell r="D27">
            <v>21000</v>
          </cell>
        </row>
        <row r="28">
          <cell r="D28">
            <v>21000</v>
          </cell>
        </row>
        <row r="29">
          <cell r="D29">
            <v>21000</v>
          </cell>
        </row>
        <row r="30">
          <cell r="D30">
            <v>21000</v>
          </cell>
        </row>
        <row r="31">
          <cell r="D31">
            <v>21000</v>
          </cell>
        </row>
        <row r="32">
          <cell r="D32">
            <v>21000</v>
          </cell>
        </row>
        <row r="33">
          <cell r="D33">
            <v>21000</v>
          </cell>
        </row>
        <row r="34">
          <cell r="D34">
            <v>21000</v>
          </cell>
        </row>
        <row r="35">
          <cell r="D35">
            <v>21000</v>
          </cell>
        </row>
        <row r="36">
          <cell r="D36">
            <v>21000</v>
          </cell>
        </row>
        <row r="37">
          <cell r="D37">
            <v>21000</v>
          </cell>
        </row>
        <row r="38">
          <cell r="D38">
            <v>21000</v>
          </cell>
        </row>
        <row r="39">
          <cell r="D39">
            <v>21000</v>
          </cell>
        </row>
        <row r="40">
          <cell r="D40">
            <v>21000</v>
          </cell>
        </row>
        <row r="41">
          <cell r="D41">
            <v>21000</v>
          </cell>
        </row>
        <row r="42">
          <cell r="D42">
            <v>21000</v>
          </cell>
        </row>
        <row r="43">
          <cell r="D43">
            <v>21000</v>
          </cell>
        </row>
        <row r="44">
          <cell r="D44">
            <v>21000</v>
          </cell>
        </row>
        <row r="45">
          <cell r="D45">
            <v>21000</v>
          </cell>
        </row>
        <row r="46">
          <cell r="D46">
            <v>21000</v>
          </cell>
        </row>
        <row r="47">
          <cell r="D47">
            <v>21000</v>
          </cell>
        </row>
        <row r="48">
          <cell r="D48">
            <v>21000</v>
          </cell>
        </row>
        <row r="49">
          <cell r="D49">
            <v>21000</v>
          </cell>
        </row>
        <row r="50">
          <cell r="D50">
            <v>21000</v>
          </cell>
        </row>
        <row r="51">
          <cell r="D51">
            <v>21000</v>
          </cell>
        </row>
        <row r="52">
          <cell r="D52">
            <v>21000</v>
          </cell>
        </row>
        <row r="53">
          <cell r="D53">
            <v>21000</v>
          </cell>
        </row>
        <row r="54">
          <cell r="D54">
            <v>21000</v>
          </cell>
        </row>
        <row r="55">
          <cell r="D55">
            <v>21000</v>
          </cell>
        </row>
        <row r="56">
          <cell r="D56">
            <v>21000</v>
          </cell>
        </row>
        <row r="57">
          <cell r="D57">
            <v>21000</v>
          </cell>
        </row>
        <row r="58">
          <cell r="D58">
            <v>21000</v>
          </cell>
        </row>
        <row r="59">
          <cell r="D59">
            <v>21000</v>
          </cell>
        </row>
        <row r="60">
          <cell r="D60">
            <v>21000</v>
          </cell>
        </row>
        <row r="61">
          <cell r="D61">
            <v>21000</v>
          </cell>
        </row>
        <row r="62">
          <cell r="D62">
            <v>21000</v>
          </cell>
        </row>
        <row r="63">
          <cell r="D63">
            <v>21000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11"/>
    </sheetNames>
    <sheetDataSet>
      <sheetData sheetId="0">
        <row r="123">
          <cell r="D123">
            <v>2084000</v>
          </cell>
        </row>
      </sheetData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12"/>
    </sheetNames>
    <sheetDataSet>
      <sheetData sheetId="0">
        <row r="123">
          <cell r="D123">
            <v>2150000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13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614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1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1"/>
    </sheetNames>
    <sheetDataSet>
      <sheetData sheetId="0">
        <row r="45">
          <cell r="D45">
            <v>155000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2"/>
    </sheetNames>
    <sheetDataSet>
      <sheetData sheetId="0">
        <row r="121">
          <cell r="D121">
            <v>2125000</v>
          </cell>
        </row>
      </sheetData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3"/>
    </sheetNames>
    <sheetDataSet>
      <sheetData sheetId="0">
        <row r="45">
          <cell r="D45">
            <v>310000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3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  <row r="67">
          <cell r="D67">
            <v>18000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3"/>
    </sheetNames>
    <sheetDataSet>
      <sheetData sheetId="0" refreshError="1">
        <row r="68">
          <cell r="D68">
            <v>16000</v>
          </cell>
        </row>
        <row r="69">
          <cell r="D69">
            <v>16000</v>
          </cell>
        </row>
        <row r="70">
          <cell r="D70">
            <v>16000</v>
          </cell>
        </row>
        <row r="71">
          <cell r="D71">
            <v>16000</v>
          </cell>
        </row>
        <row r="72">
          <cell r="D72">
            <v>16000</v>
          </cell>
        </row>
        <row r="73">
          <cell r="D73">
            <v>16000</v>
          </cell>
        </row>
        <row r="74">
          <cell r="D74">
            <v>16000</v>
          </cell>
        </row>
        <row r="75">
          <cell r="D75">
            <v>16000</v>
          </cell>
        </row>
        <row r="76">
          <cell r="D76">
            <v>16000</v>
          </cell>
        </row>
        <row r="77">
          <cell r="D77">
            <v>16000</v>
          </cell>
        </row>
        <row r="78">
          <cell r="D78">
            <v>8000</v>
          </cell>
        </row>
        <row r="79">
          <cell r="D79">
            <v>8000</v>
          </cell>
        </row>
        <row r="80">
          <cell r="D80">
            <v>8000</v>
          </cell>
        </row>
        <row r="81">
          <cell r="D81">
            <v>8000</v>
          </cell>
        </row>
        <row r="82">
          <cell r="D82">
            <v>8000</v>
          </cell>
        </row>
        <row r="83">
          <cell r="D83">
            <v>8000</v>
          </cell>
        </row>
        <row r="84">
          <cell r="D84">
            <v>8000</v>
          </cell>
        </row>
        <row r="85">
          <cell r="D85">
            <v>8000</v>
          </cell>
        </row>
        <row r="86">
          <cell r="D86">
            <v>8000</v>
          </cell>
        </row>
        <row r="87">
          <cell r="D87">
            <v>8000</v>
          </cell>
        </row>
        <row r="88">
          <cell r="D88">
            <v>8000</v>
          </cell>
        </row>
        <row r="89">
          <cell r="D89">
            <v>8000</v>
          </cell>
        </row>
        <row r="90">
          <cell r="D90">
            <v>8000</v>
          </cell>
        </row>
        <row r="91">
          <cell r="D91">
            <v>8000</v>
          </cell>
        </row>
        <row r="92">
          <cell r="D92">
            <v>8000</v>
          </cell>
        </row>
        <row r="93">
          <cell r="D93">
            <v>8000</v>
          </cell>
        </row>
        <row r="94">
          <cell r="D94">
            <v>8000</v>
          </cell>
        </row>
        <row r="95">
          <cell r="D95">
            <v>8000</v>
          </cell>
        </row>
        <row r="96">
          <cell r="D96">
            <v>8000</v>
          </cell>
        </row>
        <row r="97">
          <cell r="D97">
            <v>8000</v>
          </cell>
        </row>
        <row r="98">
          <cell r="D98">
            <v>8000</v>
          </cell>
        </row>
        <row r="99">
          <cell r="D99">
            <v>8000</v>
          </cell>
        </row>
        <row r="100">
          <cell r="D100">
            <v>8000</v>
          </cell>
        </row>
        <row r="101">
          <cell r="D101">
            <v>8000</v>
          </cell>
        </row>
        <row r="102">
          <cell r="D102">
            <v>8000</v>
          </cell>
        </row>
        <row r="103">
          <cell r="D103">
            <v>16000</v>
          </cell>
        </row>
        <row r="104">
          <cell r="D104">
            <v>16000</v>
          </cell>
        </row>
        <row r="105">
          <cell r="D105">
            <v>16000</v>
          </cell>
        </row>
        <row r="106">
          <cell r="D106">
            <v>16000</v>
          </cell>
        </row>
        <row r="107">
          <cell r="D107">
            <v>16000</v>
          </cell>
        </row>
        <row r="108">
          <cell r="D108">
            <v>16000</v>
          </cell>
        </row>
        <row r="109">
          <cell r="D109">
            <v>16000</v>
          </cell>
        </row>
        <row r="110">
          <cell r="D110">
            <v>16000</v>
          </cell>
        </row>
        <row r="111">
          <cell r="D111">
            <v>16000</v>
          </cell>
        </row>
        <row r="112">
          <cell r="D112">
            <v>16000</v>
          </cell>
        </row>
        <row r="113">
          <cell r="D113">
            <v>16000</v>
          </cell>
        </row>
        <row r="114">
          <cell r="D114">
            <v>16000</v>
          </cell>
        </row>
        <row r="115">
          <cell r="D115">
            <v>16000</v>
          </cell>
        </row>
        <row r="116">
          <cell r="D116">
            <v>16000</v>
          </cell>
        </row>
        <row r="117">
          <cell r="D117">
            <v>16000</v>
          </cell>
        </row>
        <row r="118">
          <cell r="D118">
            <v>16000</v>
          </cell>
        </row>
        <row r="119">
          <cell r="D119">
            <v>16000</v>
          </cell>
        </row>
        <row r="120">
          <cell r="D120">
            <v>16000</v>
          </cell>
        </row>
      </sheetData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4"/>
    </sheetNames>
    <sheetDataSet>
      <sheetData sheetId="0">
        <row r="121">
          <cell r="D121">
            <v>2100000</v>
          </cell>
        </row>
      </sheetData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5"/>
    </sheetNames>
    <sheetDataSet>
      <sheetData sheetId="0" refreshError="1">
        <row r="9">
          <cell r="D9">
            <v>17000</v>
          </cell>
        </row>
        <row r="10">
          <cell r="D10">
            <v>17000</v>
          </cell>
        </row>
        <row r="11">
          <cell r="D11">
            <v>17000</v>
          </cell>
        </row>
        <row r="12">
          <cell r="D12">
            <v>17000</v>
          </cell>
        </row>
        <row r="13">
          <cell r="D13">
            <v>17000</v>
          </cell>
        </row>
        <row r="14">
          <cell r="D14">
            <v>17000</v>
          </cell>
        </row>
        <row r="15">
          <cell r="D15">
            <v>17000</v>
          </cell>
        </row>
        <row r="16">
          <cell r="D16">
            <v>17000</v>
          </cell>
        </row>
        <row r="17">
          <cell r="D17">
            <v>17000</v>
          </cell>
        </row>
        <row r="18">
          <cell r="D18">
            <v>17000</v>
          </cell>
        </row>
        <row r="19">
          <cell r="D19">
            <v>17000</v>
          </cell>
        </row>
        <row r="20">
          <cell r="D20">
            <v>17000</v>
          </cell>
        </row>
        <row r="21">
          <cell r="D21">
            <v>17000</v>
          </cell>
        </row>
        <row r="22">
          <cell r="D22">
            <v>17000</v>
          </cell>
        </row>
        <row r="23">
          <cell r="D23">
            <v>17000</v>
          </cell>
        </row>
        <row r="24">
          <cell r="D24">
            <v>17000</v>
          </cell>
        </row>
        <row r="25">
          <cell r="D25">
            <v>17000</v>
          </cell>
        </row>
        <row r="26">
          <cell r="D26">
            <v>17000</v>
          </cell>
        </row>
        <row r="27">
          <cell r="D27">
            <v>17000</v>
          </cell>
        </row>
        <row r="28">
          <cell r="D28">
            <v>17000</v>
          </cell>
        </row>
        <row r="29">
          <cell r="D29">
            <v>17000</v>
          </cell>
        </row>
        <row r="30">
          <cell r="D30">
            <v>17000</v>
          </cell>
        </row>
        <row r="31">
          <cell r="D31">
            <v>17000</v>
          </cell>
        </row>
        <row r="32">
          <cell r="D32">
            <v>17000</v>
          </cell>
        </row>
        <row r="33">
          <cell r="D33">
            <v>17000</v>
          </cell>
        </row>
        <row r="34">
          <cell r="D34">
            <v>17000</v>
          </cell>
        </row>
        <row r="35">
          <cell r="D35">
            <v>17000</v>
          </cell>
        </row>
        <row r="36">
          <cell r="D36">
            <v>17000</v>
          </cell>
        </row>
        <row r="37">
          <cell r="D37">
            <v>17000</v>
          </cell>
        </row>
        <row r="38">
          <cell r="D38">
            <v>17000</v>
          </cell>
        </row>
        <row r="39">
          <cell r="D39">
            <v>17000</v>
          </cell>
        </row>
        <row r="40">
          <cell r="D40">
            <v>17000</v>
          </cell>
        </row>
        <row r="41">
          <cell r="D41">
            <v>17000</v>
          </cell>
        </row>
        <row r="42">
          <cell r="D42">
            <v>17000</v>
          </cell>
        </row>
        <row r="43">
          <cell r="D43">
            <v>17000</v>
          </cell>
        </row>
        <row r="44">
          <cell r="D44">
            <v>17000</v>
          </cell>
        </row>
        <row r="45">
          <cell r="D45">
            <v>17000</v>
          </cell>
        </row>
        <row r="46">
          <cell r="D46">
            <v>17000</v>
          </cell>
        </row>
        <row r="47">
          <cell r="D47">
            <v>17000</v>
          </cell>
        </row>
        <row r="48">
          <cell r="D48">
            <v>17000</v>
          </cell>
        </row>
        <row r="49">
          <cell r="D49">
            <v>17000</v>
          </cell>
        </row>
        <row r="50">
          <cell r="D50">
            <v>17000</v>
          </cell>
        </row>
        <row r="51">
          <cell r="D51">
            <v>17000</v>
          </cell>
        </row>
        <row r="52">
          <cell r="D52">
            <v>17000</v>
          </cell>
        </row>
        <row r="53">
          <cell r="D53">
            <v>17000</v>
          </cell>
        </row>
        <row r="54">
          <cell r="D54">
            <v>17000</v>
          </cell>
        </row>
        <row r="55">
          <cell r="D55">
            <v>17000</v>
          </cell>
        </row>
        <row r="56">
          <cell r="D56">
            <v>17000</v>
          </cell>
        </row>
        <row r="57">
          <cell r="D57">
            <v>17000</v>
          </cell>
        </row>
        <row r="58">
          <cell r="D58">
            <v>17000</v>
          </cell>
        </row>
        <row r="59">
          <cell r="D59">
            <v>17000</v>
          </cell>
        </row>
        <row r="60">
          <cell r="D60">
            <v>17000</v>
          </cell>
        </row>
        <row r="61">
          <cell r="D61">
            <v>17000</v>
          </cell>
        </row>
        <row r="62">
          <cell r="D62">
            <v>17000</v>
          </cell>
        </row>
        <row r="63">
          <cell r="D63">
            <v>17000</v>
          </cell>
        </row>
        <row r="64">
          <cell r="D64">
            <v>17000</v>
          </cell>
        </row>
        <row r="65">
          <cell r="D65">
            <v>17000</v>
          </cell>
        </row>
        <row r="66">
          <cell r="D66">
            <v>17000</v>
          </cell>
        </row>
        <row r="67">
          <cell r="D67">
            <v>17000</v>
          </cell>
        </row>
      </sheetData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5"/>
    </sheetNames>
    <sheetDataSet>
      <sheetData sheetId="0" refreshError="1">
        <row r="68">
          <cell r="D68">
            <v>16000</v>
          </cell>
        </row>
        <row r="69">
          <cell r="D69">
            <v>16000</v>
          </cell>
        </row>
        <row r="70">
          <cell r="D70">
            <v>16000</v>
          </cell>
        </row>
        <row r="71">
          <cell r="D71">
            <v>16000</v>
          </cell>
        </row>
        <row r="72">
          <cell r="D72">
            <v>16000</v>
          </cell>
        </row>
        <row r="73">
          <cell r="D73">
            <v>16000</v>
          </cell>
        </row>
        <row r="74">
          <cell r="D74">
            <v>16000</v>
          </cell>
        </row>
        <row r="75">
          <cell r="D75">
            <v>16000</v>
          </cell>
        </row>
        <row r="76">
          <cell r="D76">
            <v>16000</v>
          </cell>
        </row>
        <row r="77">
          <cell r="D77">
            <v>16000</v>
          </cell>
        </row>
        <row r="78">
          <cell r="D78">
            <v>16000</v>
          </cell>
        </row>
        <row r="79">
          <cell r="D79">
            <v>16000</v>
          </cell>
        </row>
        <row r="80">
          <cell r="D80">
            <v>16000</v>
          </cell>
        </row>
        <row r="81">
          <cell r="D81">
            <v>16000</v>
          </cell>
        </row>
        <row r="82">
          <cell r="D82">
            <v>16000</v>
          </cell>
        </row>
        <row r="83">
          <cell r="D83">
            <v>16000</v>
          </cell>
        </row>
        <row r="84">
          <cell r="D84">
            <v>16000</v>
          </cell>
        </row>
        <row r="85">
          <cell r="D85">
            <v>16000</v>
          </cell>
        </row>
        <row r="86">
          <cell r="D86">
            <v>16000</v>
          </cell>
        </row>
        <row r="87">
          <cell r="D87">
            <v>16000</v>
          </cell>
        </row>
        <row r="88">
          <cell r="D88">
            <v>16000</v>
          </cell>
        </row>
        <row r="89">
          <cell r="D89">
            <v>16000</v>
          </cell>
        </row>
        <row r="90">
          <cell r="D90">
            <v>16000</v>
          </cell>
        </row>
        <row r="91">
          <cell r="D91">
            <v>16000</v>
          </cell>
        </row>
        <row r="92">
          <cell r="D92">
            <v>16000</v>
          </cell>
        </row>
        <row r="93">
          <cell r="D93">
            <v>16000</v>
          </cell>
        </row>
        <row r="94">
          <cell r="D94">
            <v>16000</v>
          </cell>
        </row>
        <row r="95">
          <cell r="D95">
            <v>16000</v>
          </cell>
        </row>
        <row r="96">
          <cell r="D96">
            <v>16000</v>
          </cell>
        </row>
        <row r="97">
          <cell r="D97">
            <v>16000</v>
          </cell>
        </row>
        <row r="98">
          <cell r="D98">
            <v>16000</v>
          </cell>
        </row>
        <row r="99">
          <cell r="D99">
            <v>16000</v>
          </cell>
        </row>
        <row r="100">
          <cell r="D100">
            <v>16000</v>
          </cell>
        </row>
        <row r="101">
          <cell r="D101">
            <v>16000</v>
          </cell>
        </row>
        <row r="102">
          <cell r="D102">
            <v>16000</v>
          </cell>
        </row>
        <row r="103">
          <cell r="D103">
            <v>16000</v>
          </cell>
        </row>
        <row r="104">
          <cell r="D104">
            <v>16000</v>
          </cell>
        </row>
        <row r="105">
          <cell r="D105">
            <v>16000</v>
          </cell>
        </row>
        <row r="106">
          <cell r="D106">
            <v>16000</v>
          </cell>
        </row>
        <row r="107">
          <cell r="D107">
            <v>16000</v>
          </cell>
        </row>
        <row r="108">
          <cell r="D108">
            <v>16000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6"/>
    </sheetNames>
    <sheetDataSet>
      <sheetData sheetId="0">
        <row r="122">
          <cell r="D122">
            <v>0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7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</sheetData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09"/>
    </sheetNames>
    <sheetDataSet>
      <sheetData sheetId="0">
        <row r="124">
          <cell r="D124">
            <v>2178000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10"/>
    </sheetNames>
    <sheetDataSet>
      <sheetData sheetId="0">
        <row r="121">
          <cell r="D121">
            <v>2112000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11"/>
    </sheetNames>
    <sheetDataSet>
      <sheetData sheetId="0">
        <row r="123">
          <cell r="D123">
            <v>2475000</v>
          </cell>
        </row>
      </sheetData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12"/>
    </sheetNames>
    <sheetDataSet>
      <sheetData sheetId="0">
        <row r="121">
          <cell r="D121">
            <v>2700000</v>
          </cell>
        </row>
      </sheetData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13"/>
    </sheetNames>
    <sheetDataSet>
      <sheetData sheetId="0">
        <row r="45">
          <cell r="D45">
            <v>310000</v>
          </cell>
        </row>
      </sheetData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14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  <row r="67">
          <cell r="D67">
            <v>18000</v>
          </cell>
        </row>
      </sheetData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714"/>
    </sheetNames>
    <sheetDataSet>
      <sheetData sheetId="0">
        <row r="45">
          <cell r="D45">
            <v>155000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Bank"/>
      <sheetName val="Master File"/>
      <sheetName val="Sheet3"/>
    </sheetNames>
    <sheetDataSet>
      <sheetData sheetId="0">
        <row r="14">
          <cell r="D14">
            <v>0</v>
          </cell>
        </row>
        <row r="17">
          <cell r="D17">
            <v>0</v>
          </cell>
        </row>
        <row r="19">
          <cell r="D19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51">
          <cell r="D51">
            <v>0</v>
          </cell>
        </row>
        <row r="52">
          <cell r="D52">
            <v>0</v>
          </cell>
        </row>
        <row r="54">
          <cell r="D54">
            <v>0</v>
          </cell>
        </row>
      </sheetData>
      <sheetData sheetId="1"/>
      <sheetData sheetId="2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Bank"/>
      <sheetName val="Master File"/>
      <sheetName val="Sheet3"/>
    </sheetNames>
    <sheetDataSet>
      <sheetData sheetId="0"/>
      <sheetData sheetId="1">
        <row r="66">
          <cell r="D66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3">
          <cell r="D93">
            <v>0</v>
          </cell>
        </row>
        <row r="97">
          <cell r="D97">
            <v>0</v>
          </cell>
        </row>
        <row r="99">
          <cell r="D99">
            <v>0</v>
          </cell>
        </row>
        <row r="100">
          <cell r="D100">
            <v>0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</v>
          </cell>
        </row>
        <row r="106">
          <cell r="D106">
            <v>0</v>
          </cell>
        </row>
        <row r="107">
          <cell r="D107">
            <v>0</v>
          </cell>
        </row>
        <row r="108">
          <cell r="D108">
            <v>0</v>
          </cell>
        </row>
        <row r="109">
          <cell r="D109">
            <v>0</v>
          </cell>
        </row>
        <row r="111">
          <cell r="D111">
            <v>0</v>
          </cell>
        </row>
        <row r="112">
          <cell r="D112">
            <v>0</v>
          </cell>
        </row>
        <row r="113">
          <cell r="D113">
            <v>0</v>
          </cell>
        </row>
        <row r="117">
          <cell r="D117">
            <v>0</v>
          </cell>
        </row>
        <row r="119">
          <cell r="D119">
            <v>0</v>
          </cell>
        </row>
        <row r="120">
          <cell r="D120">
            <v>0</v>
          </cell>
        </row>
      </sheetData>
      <sheetData sheetId="2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01"/>
    </sheetNames>
    <sheetDataSet>
      <sheetData sheetId="0">
        <row r="45">
          <cell r="D45">
            <v>350000</v>
          </cell>
        </row>
      </sheetData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02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</sheetData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03"/>
    </sheetNames>
    <sheetDataSet>
      <sheetData sheetId="0">
        <row r="69">
          <cell r="D69">
            <v>217000</v>
          </cell>
        </row>
      </sheetData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03"/>
    </sheetNames>
    <sheetDataSet>
      <sheetData sheetId="0">
        <row r="63">
          <cell r="D63">
            <v>16000</v>
          </cell>
        </row>
        <row r="64">
          <cell r="D64">
            <v>16000</v>
          </cell>
        </row>
        <row r="65">
          <cell r="D65">
            <v>16000</v>
          </cell>
        </row>
        <row r="66">
          <cell r="D66">
            <v>16000</v>
          </cell>
        </row>
        <row r="67">
          <cell r="D67">
            <v>16000</v>
          </cell>
        </row>
        <row r="68">
          <cell r="D68">
            <v>16000</v>
          </cell>
        </row>
        <row r="69">
          <cell r="D69">
            <v>16000</v>
          </cell>
        </row>
        <row r="70">
          <cell r="D70">
            <v>16000</v>
          </cell>
        </row>
        <row r="71">
          <cell r="D71">
            <v>16000</v>
          </cell>
        </row>
        <row r="72">
          <cell r="D72">
            <v>16000</v>
          </cell>
        </row>
        <row r="73">
          <cell r="D73">
            <v>8000</v>
          </cell>
        </row>
        <row r="74">
          <cell r="D74">
            <v>8000</v>
          </cell>
        </row>
        <row r="75">
          <cell r="D75">
            <v>8000</v>
          </cell>
        </row>
        <row r="76">
          <cell r="D76">
            <v>8000</v>
          </cell>
        </row>
        <row r="77">
          <cell r="D77">
            <v>8000</v>
          </cell>
        </row>
        <row r="78">
          <cell r="D78">
            <v>8000</v>
          </cell>
        </row>
        <row r="79">
          <cell r="D79">
            <v>8000</v>
          </cell>
        </row>
        <row r="80">
          <cell r="D80">
            <v>8000</v>
          </cell>
        </row>
        <row r="81">
          <cell r="D81">
            <v>8000</v>
          </cell>
        </row>
        <row r="82">
          <cell r="D82">
            <v>8000</v>
          </cell>
        </row>
        <row r="83">
          <cell r="D83">
            <v>8000</v>
          </cell>
        </row>
        <row r="84">
          <cell r="D84">
            <v>8000</v>
          </cell>
        </row>
        <row r="85">
          <cell r="D85">
            <v>8000</v>
          </cell>
        </row>
        <row r="86">
          <cell r="D86">
            <v>8000</v>
          </cell>
        </row>
        <row r="87">
          <cell r="D87">
            <v>8000</v>
          </cell>
        </row>
        <row r="88">
          <cell r="D88">
            <v>8000</v>
          </cell>
        </row>
        <row r="89">
          <cell r="D89">
            <v>8000</v>
          </cell>
        </row>
        <row r="90">
          <cell r="D90">
            <v>8000</v>
          </cell>
        </row>
        <row r="91">
          <cell r="D91">
            <v>8000</v>
          </cell>
        </row>
        <row r="92">
          <cell r="D92">
            <v>8000</v>
          </cell>
        </row>
        <row r="93">
          <cell r="D93">
            <v>8000</v>
          </cell>
        </row>
        <row r="94">
          <cell r="D94">
            <v>8000</v>
          </cell>
        </row>
        <row r="95">
          <cell r="D95">
            <v>8000</v>
          </cell>
        </row>
        <row r="96">
          <cell r="D96">
            <v>8000</v>
          </cell>
        </row>
        <row r="97">
          <cell r="D97">
            <v>8000</v>
          </cell>
        </row>
        <row r="98">
          <cell r="D98">
            <v>8000</v>
          </cell>
        </row>
        <row r="99">
          <cell r="D99">
            <v>8000</v>
          </cell>
        </row>
        <row r="100">
          <cell r="D100">
            <v>8000</v>
          </cell>
        </row>
        <row r="101">
          <cell r="D101">
            <v>16000</v>
          </cell>
        </row>
        <row r="102">
          <cell r="D102">
            <v>16000</v>
          </cell>
        </row>
        <row r="103">
          <cell r="D103">
            <v>16000</v>
          </cell>
        </row>
        <row r="104">
          <cell r="D104">
            <v>16000</v>
          </cell>
        </row>
        <row r="105">
          <cell r="D105">
            <v>16000</v>
          </cell>
        </row>
        <row r="106">
          <cell r="D106">
            <v>16000</v>
          </cell>
        </row>
        <row r="107">
          <cell r="D107">
            <v>16000</v>
          </cell>
        </row>
        <row r="108">
          <cell r="D108">
            <v>16000</v>
          </cell>
        </row>
        <row r="109">
          <cell r="D109">
            <v>16000</v>
          </cell>
        </row>
        <row r="110">
          <cell r="D110">
            <v>16000</v>
          </cell>
        </row>
        <row r="111">
          <cell r="D111">
            <v>16000</v>
          </cell>
        </row>
        <row r="112">
          <cell r="D112">
            <v>16000</v>
          </cell>
        </row>
        <row r="113">
          <cell r="D113">
            <v>16000</v>
          </cell>
        </row>
        <row r="114">
          <cell r="D114">
            <v>16000</v>
          </cell>
        </row>
        <row r="115">
          <cell r="D115">
            <v>16000</v>
          </cell>
        </row>
        <row r="116">
          <cell r="D116">
            <v>16000</v>
          </cell>
        </row>
        <row r="117">
          <cell r="D117">
            <v>16000</v>
          </cell>
        </row>
        <row r="118">
          <cell r="D118">
            <v>16000</v>
          </cell>
        </row>
        <row r="119">
          <cell r="D119">
            <v>16000</v>
          </cell>
        </row>
        <row r="120">
          <cell r="D120">
            <v>16000</v>
          </cell>
        </row>
        <row r="121">
          <cell r="D121">
            <v>16000</v>
          </cell>
        </row>
        <row r="122">
          <cell r="D122">
            <v>16000</v>
          </cell>
        </row>
      </sheetData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04"/>
    </sheetNames>
    <sheetDataSet>
      <sheetData sheetId="0">
        <row r="121">
          <cell r="D121">
            <v>2550000</v>
          </cell>
        </row>
      </sheetData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05"/>
    </sheetNames>
    <sheetDataSet>
      <sheetData sheetId="0">
        <row r="123">
          <cell r="D123">
            <v>2200000</v>
          </cell>
        </row>
      </sheetData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05"/>
    </sheetNames>
    <sheetDataSet>
      <sheetData sheetId="0">
        <row r="45">
          <cell r="D45">
            <v>186000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07"/>
    </sheetNames>
    <sheetDataSet>
      <sheetData sheetId="0">
        <row r="123">
          <cell r="D123">
            <v>2090000</v>
          </cell>
        </row>
      </sheetData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09"/>
    </sheetNames>
    <sheetDataSet>
      <sheetData sheetId="0">
        <row r="121">
          <cell r="D121">
            <v>2520000</v>
          </cell>
        </row>
      </sheetData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10"/>
    </sheetNames>
    <sheetDataSet>
      <sheetData sheetId="0">
        <row r="124">
          <cell r="D124">
            <v>2180816</v>
          </cell>
        </row>
      </sheetData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10"/>
    </sheetNames>
    <sheetDataSet>
      <sheetData sheetId="0" refreshError="1">
        <row r="9">
          <cell r="D9">
            <v>15136</v>
          </cell>
        </row>
        <row r="10">
          <cell r="D10">
            <v>15136</v>
          </cell>
        </row>
        <row r="11">
          <cell r="D11">
            <v>15136</v>
          </cell>
        </row>
        <row r="12">
          <cell r="D12">
            <v>15136</v>
          </cell>
        </row>
        <row r="13">
          <cell r="D13">
            <v>15136</v>
          </cell>
        </row>
      </sheetData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10"/>
    </sheetNames>
    <sheetDataSet>
      <sheetData sheetId="0">
        <row r="123">
          <cell r="D123">
            <v>2180816</v>
          </cell>
        </row>
      </sheetData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11"/>
    </sheetNames>
    <sheetDataSet>
      <sheetData sheetId="0">
        <row r="121">
          <cell r="D121">
            <v>2282000</v>
          </cell>
        </row>
      </sheetData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812"/>
    </sheetNames>
    <sheetDataSet>
      <sheetData sheetId="0">
        <row r="121">
          <cell r="D121">
            <v>1876000</v>
          </cell>
        </row>
      </sheetData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813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</sheetData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813"/>
    </sheetNames>
    <sheetDataSet>
      <sheetData sheetId="0">
        <row r="55">
          <cell r="D55">
            <v>16000</v>
          </cell>
        </row>
        <row r="56">
          <cell r="D56">
            <v>16000</v>
          </cell>
        </row>
        <row r="57">
          <cell r="D57">
            <v>16000</v>
          </cell>
        </row>
        <row r="58">
          <cell r="D58">
            <v>16000</v>
          </cell>
        </row>
        <row r="59">
          <cell r="D59">
            <v>16000</v>
          </cell>
        </row>
        <row r="60">
          <cell r="D60">
            <v>16000</v>
          </cell>
        </row>
        <row r="61">
          <cell r="D61">
            <v>16000</v>
          </cell>
        </row>
        <row r="62">
          <cell r="D62">
            <v>16000</v>
          </cell>
        </row>
        <row r="63">
          <cell r="D63">
            <v>16000</v>
          </cell>
        </row>
        <row r="64">
          <cell r="D64">
            <v>16000</v>
          </cell>
        </row>
        <row r="65">
          <cell r="D65">
            <v>16000</v>
          </cell>
        </row>
        <row r="66">
          <cell r="D66">
            <v>16000</v>
          </cell>
        </row>
        <row r="67">
          <cell r="D67">
            <v>16000</v>
          </cell>
        </row>
        <row r="68">
          <cell r="D68">
            <v>16000</v>
          </cell>
        </row>
        <row r="69">
          <cell r="D69">
            <v>16000</v>
          </cell>
        </row>
        <row r="70">
          <cell r="D70">
            <v>16000</v>
          </cell>
        </row>
        <row r="71">
          <cell r="D71">
            <v>16000</v>
          </cell>
        </row>
        <row r="72">
          <cell r="D72">
            <v>16000</v>
          </cell>
        </row>
        <row r="73">
          <cell r="D73">
            <v>16000</v>
          </cell>
        </row>
        <row r="74">
          <cell r="D74">
            <v>16000</v>
          </cell>
        </row>
        <row r="75">
          <cell r="D75">
            <v>8000</v>
          </cell>
        </row>
        <row r="76">
          <cell r="D76">
            <v>8000</v>
          </cell>
        </row>
        <row r="77">
          <cell r="D77">
            <v>8000</v>
          </cell>
        </row>
        <row r="78">
          <cell r="D78">
            <v>8000</v>
          </cell>
        </row>
        <row r="79">
          <cell r="D79">
            <v>8000</v>
          </cell>
        </row>
        <row r="80">
          <cell r="D80">
            <v>8000</v>
          </cell>
        </row>
        <row r="81">
          <cell r="D81">
            <v>8000</v>
          </cell>
        </row>
        <row r="82">
          <cell r="D82">
            <v>8000</v>
          </cell>
        </row>
        <row r="83">
          <cell r="D83">
            <v>8000</v>
          </cell>
        </row>
        <row r="84">
          <cell r="D84">
            <v>8000</v>
          </cell>
        </row>
        <row r="85">
          <cell r="D85">
            <v>8000</v>
          </cell>
        </row>
        <row r="86">
          <cell r="D86">
            <v>8000</v>
          </cell>
        </row>
        <row r="87">
          <cell r="D87">
            <v>8000</v>
          </cell>
        </row>
        <row r="88">
          <cell r="D88">
            <v>8000</v>
          </cell>
        </row>
        <row r="89">
          <cell r="D89">
            <v>8000</v>
          </cell>
        </row>
        <row r="90">
          <cell r="D90">
            <v>8000</v>
          </cell>
        </row>
        <row r="91">
          <cell r="D91">
            <v>8000</v>
          </cell>
        </row>
        <row r="92">
          <cell r="D92">
            <v>8000</v>
          </cell>
        </row>
        <row r="93">
          <cell r="D93">
            <v>8000</v>
          </cell>
        </row>
        <row r="94">
          <cell r="D94">
            <v>8000</v>
          </cell>
        </row>
        <row r="95">
          <cell r="D95">
            <v>8000</v>
          </cell>
        </row>
        <row r="96">
          <cell r="D96">
            <v>8000</v>
          </cell>
        </row>
        <row r="97">
          <cell r="D97">
            <v>8000</v>
          </cell>
        </row>
        <row r="98">
          <cell r="D98">
            <v>8000</v>
          </cell>
        </row>
        <row r="99">
          <cell r="D99">
            <v>8000</v>
          </cell>
        </row>
        <row r="100">
          <cell r="D100">
            <v>8000</v>
          </cell>
        </row>
        <row r="101">
          <cell r="D101">
            <v>8000</v>
          </cell>
        </row>
        <row r="102">
          <cell r="D102">
            <v>8000</v>
          </cell>
        </row>
        <row r="103">
          <cell r="D103">
            <v>16000</v>
          </cell>
        </row>
        <row r="104">
          <cell r="D104">
            <v>16000</v>
          </cell>
        </row>
        <row r="105">
          <cell r="D105">
            <v>16000</v>
          </cell>
        </row>
        <row r="106">
          <cell r="D106">
            <v>16000</v>
          </cell>
        </row>
        <row r="107">
          <cell r="D107">
            <v>16000</v>
          </cell>
        </row>
        <row r="108">
          <cell r="D108">
            <v>16000</v>
          </cell>
        </row>
        <row r="109">
          <cell r="D109">
            <v>16000</v>
          </cell>
        </row>
        <row r="110">
          <cell r="D110">
            <v>16000</v>
          </cell>
        </row>
        <row r="111">
          <cell r="D111">
            <v>16000</v>
          </cell>
        </row>
        <row r="112">
          <cell r="D112">
            <v>16000</v>
          </cell>
        </row>
        <row r="113">
          <cell r="D113">
            <v>16000</v>
          </cell>
        </row>
        <row r="114">
          <cell r="D114">
            <v>16000</v>
          </cell>
        </row>
        <row r="115">
          <cell r="D115">
            <v>16000</v>
          </cell>
        </row>
        <row r="116">
          <cell r="D116">
            <v>16000</v>
          </cell>
        </row>
        <row r="117">
          <cell r="D117">
            <v>16000</v>
          </cell>
        </row>
        <row r="118">
          <cell r="D118">
            <v>16000</v>
          </cell>
        </row>
        <row r="119">
          <cell r="D119">
            <v>16000</v>
          </cell>
        </row>
      </sheetData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814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</sheetData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1"/>
      <sheetName val="Sheet2"/>
      <sheetName val="Sheet1"/>
    </sheetNames>
    <sheetDataSet>
      <sheetData sheetId="0">
        <row r="109">
          <cell r="D109">
            <v>1517126</v>
          </cell>
        </row>
      </sheetData>
      <sheetData sheetId="1"/>
      <sheetData sheetId="2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3"/>
    </sheetNames>
    <sheetDataSet>
      <sheetData sheetId="0">
        <row r="123">
          <cell r="D123">
            <v>1681500</v>
          </cell>
        </row>
      </sheetData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4"/>
    </sheetNames>
    <sheetDataSet>
      <sheetData sheetId="0">
        <row r="121">
          <cell r="D121">
            <v>1681500</v>
          </cell>
        </row>
      </sheetData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5"/>
    </sheetNames>
    <sheetDataSet>
      <sheetData sheetId="0">
        <row r="15">
          <cell r="D15">
            <v>22000</v>
          </cell>
        </row>
        <row r="16">
          <cell r="D16">
            <v>22000</v>
          </cell>
        </row>
        <row r="17">
          <cell r="D17">
            <v>22000</v>
          </cell>
        </row>
        <row r="18">
          <cell r="D18">
            <v>22000</v>
          </cell>
        </row>
        <row r="19">
          <cell r="D19">
            <v>22000</v>
          </cell>
        </row>
        <row r="20">
          <cell r="D20">
            <v>22000</v>
          </cell>
        </row>
        <row r="21">
          <cell r="D21">
            <v>22000</v>
          </cell>
        </row>
        <row r="22">
          <cell r="D22">
            <v>22000</v>
          </cell>
        </row>
        <row r="23">
          <cell r="D23">
            <v>22000</v>
          </cell>
        </row>
        <row r="24">
          <cell r="D24">
            <v>22000</v>
          </cell>
        </row>
        <row r="25">
          <cell r="D25">
            <v>22000</v>
          </cell>
        </row>
        <row r="26">
          <cell r="D26">
            <v>22000</v>
          </cell>
        </row>
        <row r="27">
          <cell r="D27">
            <v>22000</v>
          </cell>
        </row>
        <row r="28">
          <cell r="D28">
            <v>22000</v>
          </cell>
        </row>
        <row r="29">
          <cell r="D29">
            <v>22000</v>
          </cell>
        </row>
        <row r="30">
          <cell r="D30">
            <v>22000</v>
          </cell>
        </row>
        <row r="31">
          <cell r="D31">
            <v>22000</v>
          </cell>
        </row>
        <row r="32">
          <cell r="D32">
            <v>22000</v>
          </cell>
        </row>
        <row r="33">
          <cell r="D33">
            <v>22000</v>
          </cell>
        </row>
        <row r="34">
          <cell r="D34">
            <v>22000</v>
          </cell>
        </row>
        <row r="35">
          <cell r="D35">
            <v>22000</v>
          </cell>
        </row>
        <row r="36">
          <cell r="D36">
            <v>22000</v>
          </cell>
        </row>
        <row r="37">
          <cell r="D37">
            <v>22000</v>
          </cell>
        </row>
        <row r="38">
          <cell r="D38">
            <v>22000</v>
          </cell>
        </row>
        <row r="39">
          <cell r="D39">
            <v>22000</v>
          </cell>
        </row>
        <row r="40">
          <cell r="D40">
            <v>22000</v>
          </cell>
        </row>
        <row r="41">
          <cell r="D41">
            <v>22000</v>
          </cell>
        </row>
        <row r="42">
          <cell r="D42">
            <v>22000</v>
          </cell>
        </row>
        <row r="43">
          <cell r="D43">
            <v>22000</v>
          </cell>
        </row>
        <row r="44">
          <cell r="D44">
            <v>22000</v>
          </cell>
        </row>
        <row r="45">
          <cell r="D45">
            <v>22000</v>
          </cell>
        </row>
        <row r="46">
          <cell r="D46">
            <v>22000</v>
          </cell>
        </row>
        <row r="47">
          <cell r="D47">
            <v>22000</v>
          </cell>
        </row>
        <row r="48">
          <cell r="D48">
            <v>22000</v>
          </cell>
        </row>
        <row r="49">
          <cell r="D49">
            <v>22000</v>
          </cell>
        </row>
        <row r="50">
          <cell r="D50">
            <v>22000</v>
          </cell>
        </row>
        <row r="51">
          <cell r="D51">
            <v>22000</v>
          </cell>
        </row>
        <row r="52">
          <cell r="D52">
            <v>22000</v>
          </cell>
        </row>
        <row r="53">
          <cell r="D53">
            <v>22000</v>
          </cell>
        </row>
        <row r="54">
          <cell r="D54">
            <v>22000</v>
          </cell>
        </row>
        <row r="55">
          <cell r="D55">
            <v>22000</v>
          </cell>
        </row>
        <row r="56">
          <cell r="D56">
            <v>22000</v>
          </cell>
        </row>
        <row r="57">
          <cell r="D57">
            <v>22000</v>
          </cell>
        </row>
        <row r="58">
          <cell r="D58">
            <v>11000</v>
          </cell>
        </row>
        <row r="59">
          <cell r="D59">
            <v>11000</v>
          </cell>
        </row>
        <row r="60">
          <cell r="D60">
            <v>11000</v>
          </cell>
        </row>
        <row r="61">
          <cell r="D61">
            <v>11000</v>
          </cell>
        </row>
        <row r="62">
          <cell r="D62">
            <v>11000</v>
          </cell>
        </row>
        <row r="63">
          <cell r="D63">
            <v>11000</v>
          </cell>
        </row>
        <row r="64">
          <cell r="D64">
            <v>11000</v>
          </cell>
        </row>
        <row r="65">
          <cell r="D65">
            <v>11000</v>
          </cell>
        </row>
        <row r="66">
          <cell r="D66">
            <v>11000</v>
          </cell>
        </row>
        <row r="67">
          <cell r="D67">
            <v>11000</v>
          </cell>
        </row>
        <row r="68">
          <cell r="D68">
            <v>11000</v>
          </cell>
        </row>
        <row r="69">
          <cell r="D69">
            <v>11000</v>
          </cell>
        </row>
        <row r="70">
          <cell r="D70">
            <v>11000</v>
          </cell>
        </row>
        <row r="71">
          <cell r="D71">
            <v>11000</v>
          </cell>
        </row>
        <row r="72">
          <cell r="D72">
            <v>11000</v>
          </cell>
        </row>
        <row r="73">
          <cell r="D73">
            <v>11000</v>
          </cell>
        </row>
        <row r="74">
          <cell r="D74">
            <v>11000</v>
          </cell>
        </row>
        <row r="75">
          <cell r="D75">
            <v>11000</v>
          </cell>
        </row>
        <row r="76">
          <cell r="D76">
            <v>11000</v>
          </cell>
        </row>
        <row r="77">
          <cell r="D77">
            <v>11000</v>
          </cell>
        </row>
        <row r="78">
          <cell r="D78">
            <v>11000</v>
          </cell>
        </row>
        <row r="79">
          <cell r="D79">
            <v>11000</v>
          </cell>
        </row>
        <row r="80">
          <cell r="D80">
            <v>11000</v>
          </cell>
        </row>
        <row r="81">
          <cell r="D81">
            <v>11000</v>
          </cell>
        </row>
        <row r="82">
          <cell r="D82">
            <v>11000</v>
          </cell>
        </row>
        <row r="83">
          <cell r="D83">
            <v>11000</v>
          </cell>
        </row>
        <row r="84">
          <cell r="D84">
            <v>11000</v>
          </cell>
        </row>
        <row r="85">
          <cell r="D85">
            <v>22000</v>
          </cell>
        </row>
        <row r="86">
          <cell r="D86">
            <v>22000</v>
          </cell>
        </row>
        <row r="87">
          <cell r="D87">
            <v>22000</v>
          </cell>
        </row>
        <row r="88">
          <cell r="D88">
            <v>22000</v>
          </cell>
        </row>
        <row r="89">
          <cell r="D89">
            <v>22000</v>
          </cell>
        </row>
        <row r="90">
          <cell r="D90">
            <v>22000</v>
          </cell>
        </row>
        <row r="91">
          <cell r="D91">
            <v>22000</v>
          </cell>
        </row>
        <row r="92">
          <cell r="D92">
            <v>22000</v>
          </cell>
        </row>
        <row r="93">
          <cell r="D93">
            <v>22000</v>
          </cell>
        </row>
        <row r="94">
          <cell r="D94">
            <v>22000</v>
          </cell>
        </row>
        <row r="95">
          <cell r="D95">
            <v>22000</v>
          </cell>
        </row>
        <row r="96">
          <cell r="D96">
            <v>22000</v>
          </cell>
        </row>
        <row r="97">
          <cell r="D97">
            <v>22000</v>
          </cell>
        </row>
        <row r="98">
          <cell r="D98">
            <v>22000</v>
          </cell>
        </row>
        <row r="99">
          <cell r="D99">
            <v>22000</v>
          </cell>
        </row>
        <row r="100">
          <cell r="D100">
            <v>22000</v>
          </cell>
        </row>
        <row r="101">
          <cell r="D101">
            <v>22000</v>
          </cell>
        </row>
        <row r="102">
          <cell r="D102">
            <v>22000</v>
          </cell>
        </row>
        <row r="103">
          <cell r="D103">
            <v>22000</v>
          </cell>
        </row>
        <row r="104">
          <cell r="D104">
            <v>22000</v>
          </cell>
        </row>
        <row r="105">
          <cell r="D105">
            <v>22000</v>
          </cell>
        </row>
        <row r="106">
          <cell r="D106">
            <v>22000</v>
          </cell>
        </row>
        <row r="107">
          <cell r="D107">
            <v>22000</v>
          </cell>
        </row>
        <row r="108">
          <cell r="D108">
            <v>22000</v>
          </cell>
        </row>
        <row r="109">
          <cell r="D109">
            <v>22000</v>
          </cell>
        </row>
        <row r="110">
          <cell r="D110">
            <v>22000</v>
          </cell>
        </row>
        <row r="111">
          <cell r="D111">
            <v>22000</v>
          </cell>
        </row>
        <row r="112">
          <cell r="D112">
            <v>22000</v>
          </cell>
        </row>
        <row r="113">
          <cell r="D113">
            <v>22000</v>
          </cell>
        </row>
        <row r="114">
          <cell r="D114">
            <v>22000</v>
          </cell>
        </row>
        <row r="115">
          <cell r="D115">
            <v>22000</v>
          </cell>
        </row>
        <row r="116">
          <cell r="D116">
            <v>22000</v>
          </cell>
        </row>
        <row r="117">
          <cell r="D117">
            <v>22000</v>
          </cell>
        </row>
        <row r="118">
          <cell r="D118">
            <v>22000</v>
          </cell>
        </row>
        <row r="119">
          <cell r="D119">
            <v>22000</v>
          </cell>
        </row>
        <row r="120">
          <cell r="D120">
            <v>22000</v>
          </cell>
        </row>
        <row r="121">
          <cell r="D121">
            <v>22000</v>
          </cell>
        </row>
        <row r="122">
          <cell r="D122">
            <v>11000</v>
          </cell>
        </row>
      </sheetData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6 SATYAJEET SHARMA "/>
    </sheetNames>
    <sheetDataSet>
      <sheetData sheetId="0" refreshError="1">
        <row r="9">
          <cell r="D9">
            <v>9972</v>
          </cell>
        </row>
        <row r="10">
          <cell r="D10">
            <v>9972</v>
          </cell>
        </row>
        <row r="11">
          <cell r="D11">
            <v>9972</v>
          </cell>
        </row>
        <row r="12">
          <cell r="D12">
            <v>9972</v>
          </cell>
        </row>
        <row r="13">
          <cell r="D13">
            <v>9972</v>
          </cell>
        </row>
        <row r="14">
          <cell r="D14">
            <v>9972</v>
          </cell>
        </row>
        <row r="15">
          <cell r="D15">
            <v>9972</v>
          </cell>
        </row>
        <row r="16">
          <cell r="D16">
            <v>9972</v>
          </cell>
        </row>
        <row r="17">
          <cell r="D17">
            <v>9972</v>
          </cell>
        </row>
        <row r="18">
          <cell r="D18">
            <v>9972</v>
          </cell>
        </row>
        <row r="19">
          <cell r="D19">
            <v>9972</v>
          </cell>
        </row>
        <row r="20">
          <cell r="D20">
            <v>9972</v>
          </cell>
        </row>
        <row r="21">
          <cell r="D21">
            <v>9972</v>
          </cell>
        </row>
        <row r="22">
          <cell r="D22">
            <v>9972</v>
          </cell>
        </row>
        <row r="23">
          <cell r="D23">
            <v>9972</v>
          </cell>
        </row>
        <row r="24">
          <cell r="D24">
            <v>9972</v>
          </cell>
        </row>
        <row r="25">
          <cell r="D25">
            <v>9972</v>
          </cell>
        </row>
        <row r="26">
          <cell r="D26">
            <v>9972</v>
          </cell>
        </row>
        <row r="27">
          <cell r="D27">
            <v>9972</v>
          </cell>
        </row>
        <row r="28">
          <cell r="D28">
            <v>9972</v>
          </cell>
        </row>
        <row r="29">
          <cell r="D29">
            <v>9972</v>
          </cell>
        </row>
        <row r="30">
          <cell r="D30">
            <v>9972</v>
          </cell>
        </row>
        <row r="31">
          <cell r="D31">
            <v>9972</v>
          </cell>
        </row>
        <row r="32">
          <cell r="D32">
            <v>9972</v>
          </cell>
        </row>
        <row r="33">
          <cell r="D33">
            <v>9972</v>
          </cell>
        </row>
        <row r="34">
          <cell r="D34">
            <v>9972</v>
          </cell>
        </row>
        <row r="35">
          <cell r="D35">
            <v>9972</v>
          </cell>
        </row>
        <row r="36">
          <cell r="D36">
            <v>9972</v>
          </cell>
        </row>
        <row r="37">
          <cell r="D37">
            <v>9972</v>
          </cell>
        </row>
        <row r="38">
          <cell r="D38">
            <v>9972</v>
          </cell>
        </row>
      </sheetData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6 SATYAJEET SHARMA "/>
      <sheetName val="RENEW 5Y"/>
    </sheetNames>
    <sheetDataSet>
      <sheetData sheetId="0"/>
      <sheetData sheetId="1">
        <row r="69">
          <cell r="D69">
            <v>146788</v>
          </cell>
        </row>
      </sheetData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 907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  <row r="67">
          <cell r="D67">
            <v>18000</v>
          </cell>
        </row>
        <row r="68">
          <cell r="D68">
            <v>18000</v>
          </cell>
        </row>
        <row r="69">
          <cell r="D69">
            <v>18000</v>
          </cell>
        </row>
      </sheetData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7"/>
    </sheetNames>
    <sheetDataSet>
      <sheetData sheetId="0">
        <row r="45">
          <cell r="D45">
            <v>279000</v>
          </cell>
        </row>
      </sheetData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9 SAURABH JAIN"/>
      <sheetName val="Sheet1"/>
    </sheetNames>
    <sheetDataSet>
      <sheetData sheetId="0">
        <row r="121">
          <cell r="D121">
            <v>2002000</v>
          </cell>
        </row>
      </sheetData>
      <sheetData sheetId="1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9"/>
    </sheetNames>
    <sheetDataSet>
      <sheetData sheetId="0">
        <row r="20">
          <cell r="D20">
            <v>57000</v>
          </cell>
        </row>
      </sheetData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10 RAVINA GUPTA"/>
    </sheetNames>
    <sheetDataSet>
      <sheetData sheetId="0">
        <row r="121">
          <cell r="D121">
            <v>2208000</v>
          </cell>
        </row>
      </sheetData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11 MEENU SETH"/>
    </sheetNames>
    <sheetDataSet>
      <sheetData sheetId="0">
        <row r="123">
          <cell r="D123">
            <v>2400000</v>
          </cell>
        </row>
      </sheetData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12"/>
    </sheetNames>
    <sheetDataSet>
      <sheetData sheetId="0">
        <row r="117">
          <cell r="D117">
            <v>2670000</v>
          </cell>
        </row>
      </sheetData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13"/>
    </sheetNames>
    <sheetDataSet>
      <sheetData sheetId="0" refreshError="1">
        <row r="9">
          <cell r="D9">
            <v>18000</v>
          </cell>
        </row>
        <row r="10">
          <cell r="D10">
            <v>18000</v>
          </cell>
        </row>
        <row r="11">
          <cell r="D11">
            <v>18000</v>
          </cell>
        </row>
        <row r="12">
          <cell r="D12">
            <v>18000</v>
          </cell>
        </row>
        <row r="13">
          <cell r="D13">
            <v>18000</v>
          </cell>
        </row>
        <row r="14">
          <cell r="D14">
            <v>18000</v>
          </cell>
        </row>
        <row r="15">
          <cell r="D15">
            <v>18000</v>
          </cell>
        </row>
        <row r="16">
          <cell r="D16">
            <v>18000</v>
          </cell>
        </row>
        <row r="17">
          <cell r="D17">
            <v>18000</v>
          </cell>
        </row>
        <row r="18">
          <cell r="D18">
            <v>18000</v>
          </cell>
        </row>
        <row r="19">
          <cell r="D19">
            <v>18000</v>
          </cell>
        </row>
        <row r="20">
          <cell r="D20">
            <v>18000</v>
          </cell>
        </row>
        <row r="21">
          <cell r="D21">
            <v>18000</v>
          </cell>
        </row>
        <row r="22">
          <cell r="D22">
            <v>18000</v>
          </cell>
        </row>
        <row r="23">
          <cell r="D23">
            <v>18000</v>
          </cell>
        </row>
        <row r="24">
          <cell r="D24">
            <v>18000</v>
          </cell>
        </row>
        <row r="25">
          <cell r="D25">
            <v>18000</v>
          </cell>
        </row>
        <row r="26">
          <cell r="D26">
            <v>18000</v>
          </cell>
        </row>
        <row r="27">
          <cell r="D27">
            <v>18000</v>
          </cell>
        </row>
        <row r="28">
          <cell r="D28">
            <v>18000</v>
          </cell>
        </row>
        <row r="29">
          <cell r="D29">
            <v>18000</v>
          </cell>
        </row>
        <row r="30">
          <cell r="D30">
            <v>18000</v>
          </cell>
        </row>
        <row r="31">
          <cell r="D31">
            <v>18000</v>
          </cell>
        </row>
        <row r="32">
          <cell r="D32">
            <v>18000</v>
          </cell>
        </row>
        <row r="33">
          <cell r="D33">
            <v>18000</v>
          </cell>
        </row>
        <row r="34">
          <cell r="D34">
            <v>18000</v>
          </cell>
        </row>
        <row r="35">
          <cell r="D35">
            <v>18000</v>
          </cell>
        </row>
        <row r="36">
          <cell r="D36">
            <v>18000</v>
          </cell>
        </row>
        <row r="37">
          <cell r="D37">
            <v>18000</v>
          </cell>
        </row>
        <row r="38">
          <cell r="D38">
            <v>18000</v>
          </cell>
        </row>
        <row r="39">
          <cell r="D39">
            <v>18000</v>
          </cell>
        </row>
        <row r="40">
          <cell r="D40">
            <v>18000</v>
          </cell>
        </row>
        <row r="41">
          <cell r="D41">
            <v>18000</v>
          </cell>
        </row>
        <row r="42">
          <cell r="D42">
            <v>18000</v>
          </cell>
        </row>
        <row r="43">
          <cell r="D43">
            <v>18000</v>
          </cell>
        </row>
        <row r="44">
          <cell r="D44">
            <v>18000</v>
          </cell>
        </row>
        <row r="45">
          <cell r="D45">
            <v>18000</v>
          </cell>
        </row>
        <row r="46">
          <cell r="D46">
            <v>18000</v>
          </cell>
        </row>
        <row r="47">
          <cell r="D47">
            <v>18000</v>
          </cell>
        </row>
        <row r="48">
          <cell r="D48">
            <v>18000</v>
          </cell>
        </row>
        <row r="49">
          <cell r="D49">
            <v>18000</v>
          </cell>
        </row>
        <row r="50">
          <cell r="D50">
            <v>18000</v>
          </cell>
        </row>
        <row r="51">
          <cell r="D51">
            <v>18000</v>
          </cell>
        </row>
        <row r="52">
          <cell r="D52">
            <v>18000</v>
          </cell>
        </row>
        <row r="53">
          <cell r="D53">
            <v>18000</v>
          </cell>
        </row>
        <row r="54">
          <cell r="D54">
            <v>18000</v>
          </cell>
        </row>
        <row r="55">
          <cell r="D55">
            <v>18000</v>
          </cell>
        </row>
        <row r="56">
          <cell r="D56">
            <v>18000</v>
          </cell>
        </row>
        <row r="57">
          <cell r="D57">
            <v>18000</v>
          </cell>
        </row>
        <row r="58">
          <cell r="D58">
            <v>18000</v>
          </cell>
        </row>
        <row r="59">
          <cell r="D59">
            <v>18000</v>
          </cell>
        </row>
        <row r="60">
          <cell r="D60">
            <v>18000</v>
          </cell>
        </row>
        <row r="61">
          <cell r="D61">
            <v>18000</v>
          </cell>
        </row>
        <row r="62">
          <cell r="D62">
            <v>18000</v>
          </cell>
        </row>
        <row r="63">
          <cell r="D63">
            <v>18000</v>
          </cell>
        </row>
        <row r="64">
          <cell r="D64">
            <v>18000</v>
          </cell>
        </row>
        <row r="65">
          <cell r="D65">
            <v>18000</v>
          </cell>
        </row>
        <row r="66">
          <cell r="D66">
            <v>18000</v>
          </cell>
        </row>
      </sheetData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14"/>
    </sheetNames>
    <sheetDataSet>
      <sheetData sheetId="0">
        <row r="45">
          <cell r="D45">
            <v>292500</v>
          </cell>
        </row>
      </sheetData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1"/>
    </sheetNames>
    <sheetDataSet>
      <sheetData sheetId="0">
        <row r="121">
          <cell r="D121">
            <v>2550000</v>
          </cell>
        </row>
      </sheetData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2"/>
    </sheetNames>
    <sheetDataSet>
      <sheetData sheetId="0">
        <row r="45">
          <cell r="D45">
            <v>279000</v>
          </cell>
        </row>
      </sheetData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1003"/>
    </sheetNames>
    <sheetDataSet>
      <sheetData sheetId="0" refreshError="1">
        <row r="122">
          <cell r="D122">
            <v>1600000</v>
          </cell>
        </row>
      </sheetData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3"/>
    </sheetNames>
    <sheetDataSet>
      <sheetData sheetId="0">
        <row r="45">
          <cell r="D45">
            <v>124000</v>
          </cell>
        </row>
      </sheetData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4"/>
    </sheetNames>
    <sheetDataSet>
      <sheetData sheetId="0">
        <row r="122">
          <cell r="D122">
            <v>1800000</v>
          </cell>
        </row>
      </sheetData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5"/>
    </sheetNames>
    <sheetDataSet>
      <sheetData sheetId="0">
        <row r="121">
          <cell r="D121">
            <v>1770000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6"/>
    </sheetNames>
    <sheetDataSet>
      <sheetData sheetId="0">
        <row r="69">
          <cell r="D69">
            <v>217000</v>
          </cell>
        </row>
      </sheetData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7"/>
    </sheetNames>
    <sheetDataSet>
      <sheetData sheetId="0">
        <row r="121">
          <cell r="D121">
            <v>2090000</v>
          </cell>
        </row>
      </sheetData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8"/>
    </sheetNames>
    <sheetDataSet>
      <sheetData sheetId="0">
        <row r="122">
          <cell r="D122">
            <v>2200000</v>
          </cell>
        </row>
      </sheetData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8"/>
    </sheetNames>
    <sheetDataSet>
      <sheetData sheetId="0">
        <row r="45">
          <cell r="D45">
            <v>155000</v>
          </cell>
        </row>
      </sheetData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9"/>
    </sheetNames>
    <sheetDataSet>
      <sheetData sheetId="0">
        <row r="122">
          <cell r="D122">
            <v>2200000</v>
          </cell>
        </row>
      </sheetData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09"/>
    </sheetNames>
    <sheetDataSet>
      <sheetData sheetId="0">
        <row r="45">
          <cell r="D45">
            <v>155000</v>
          </cell>
        </row>
      </sheetData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10"/>
      <sheetName val="Sheet1"/>
    </sheetNames>
    <sheetDataSet>
      <sheetData sheetId="0">
        <row r="121">
          <cell r="D121">
            <v>2025000</v>
          </cell>
        </row>
      </sheetData>
      <sheetData sheetId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11"/>
    </sheetNames>
    <sheetDataSet>
      <sheetData sheetId="0">
        <row r="121">
          <cell r="D121">
            <v>2250000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2"/>
      <sheetName val="Payment Plan"/>
      <sheetName val="Nov 20"/>
      <sheetName val="Dec 20"/>
    </sheetNames>
    <sheetDataSet>
      <sheetData sheetId="0" refreshError="1">
        <row r="9">
          <cell r="D9">
            <v>20122</v>
          </cell>
        </row>
        <row r="10">
          <cell r="D10">
            <v>20122</v>
          </cell>
        </row>
        <row r="11">
          <cell r="D11">
            <v>20122</v>
          </cell>
        </row>
        <row r="12">
          <cell r="D12">
            <v>20122</v>
          </cell>
        </row>
        <row r="13">
          <cell r="D13">
            <v>20122</v>
          </cell>
        </row>
        <row r="14">
          <cell r="D14">
            <v>20122</v>
          </cell>
        </row>
        <row r="15">
          <cell r="D15">
            <v>20122</v>
          </cell>
        </row>
        <row r="16">
          <cell r="D16">
            <v>20122</v>
          </cell>
        </row>
        <row r="17">
          <cell r="D17">
            <v>20122</v>
          </cell>
        </row>
        <row r="18">
          <cell r="D18">
            <v>20122</v>
          </cell>
        </row>
        <row r="19">
          <cell r="D19">
            <v>20122</v>
          </cell>
        </row>
        <row r="20">
          <cell r="D20">
            <v>20122</v>
          </cell>
        </row>
        <row r="21">
          <cell r="D21">
            <v>20122</v>
          </cell>
        </row>
        <row r="22">
          <cell r="D22">
            <v>20122</v>
          </cell>
        </row>
        <row r="23">
          <cell r="D23">
            <v>20122</v>
          </cell>
        </row>
        <row r="24">
          <cell r="D24">
            <v>20122</v>
          </cell>
        </row>
        <row r="25">
          <cell r="D25">
            <v>20122</v>
          </cell>
        </row>
        <row r="26">
          <cell r="D26">
            <v>20122</v>
          </cell>
        </row>
        <row r="27">
          <cell r="D27">
            <v>20122</v>
          </cell>
        </row>
        <row r="28">
          <cell r="D28">
            <v>20122</v>
          </cell>
        </row>
        <row r="29">
          <cell r="D29">
            <v>20122</v>
          </cell>
        </row>
        <row r="30">
          <cell r="D30">
            <v>20122</v>
          </cell>
        </row>
        <row r="31">
          <cell r="D31">
            <v>20122</v>
          </cell>
        </row>
        <row r="32">
          <cell r="D32">
            <v>20122</v>
          </cell>
        </row>
        <row r="33">
          <cell r="D33">
            <v>20122</v>
          </cell>
        </row>
        <row r="34">
          <cell r="D34">
            <v>20122</v>
          </cell>
        </row>
        <row r="35">
          <cell r="D35">
            <v>20122</v>
          </cell>
        </row>
        <row r="36">
          <cell r="D36">
            <v>20122</v>
          </cell>
        </row>
        <row r="37">
          <cell r="D37">
            <v>20122</v>
          </cell>
        </row>
        <row r="38">
          <cell r="D38">
            <v>20122</v>
          </cell>
        </row>
        <row r="39">
          <cell r="D39">
            <v>20122</v>
          </cell>
        </row>
        <row r="40">
          <cell r="D40">
            <v>20122</v>
          </cell>
        </row>
        <row r="41">
          <cell r="D41">
            <v>20122</v>
          </cell>
        </row>
        <row r="42">
          <cell r="D42">
            <v>20122</v>
          </cell>
        </row>
        <row r="43">
          <cell r="D43">
            <v>20122</v>
          </cell>
        </row>
        <row r="44">
          <cell r="D44">
            <v>20122</v>
          </cell>
        </row>
        <row r="45">
          <cell r="D45">
            <v>20122</v>
          </cell>
        </row>
        <row r="46">
          <cell r="D46">
            <v>20122</v>
          </cell>
        </row>
        <row r="47">
          <cell r="D47">
            <v>20122</v>
          </cell>
        </row>
        <row r="48">
          <cell r="D48">
            <v>20122</v>
          </cell>
        </row>
        <row r="49">
          <cell r="D49">
            <v>20122</v>
          </cell>
        </row>
        <row r="50">
          <cell r="D50">
            <v>20122</v>
          </cell>
        </row>
        <row r="51">
          <cell r="D51">
            <v>20122</v>
          </cell>
        </row>
        <row r="52">
          <cell r="D52">
            <v>20122</v>
          </cell>
        </row>
        <row r="53">
          <cell r="D53">
            <v>20122</v>
          </cell>
        </row>
        <row r="54">
          <cell r="D54">
            <v>20122</v>
          </cell>
        </row>
        <row r="55">
          <cell r="D55">
            <v>20122</v>
          </cell>
        </row>
        <row r="56">
          <cell r="D56">
            <v>20122</v>
          </cell>
        </row>
        <row r="57">
          <cell r="D57">
            <v>20122</v>
          </cell>
        </row>
        <row r="58">
          <cell r="D58">
            <v>20122</v>
          </cell>
        </row>
        <row r="59">
          <cell r="D59">
            <v>20122</v>
          </cell>
        </row>
        <row r="60">
          <cell r="D60">
            <v>20122</v>
          </cell>
        </row>
        <row r="61">
          <cell r="D61">
            <v>20122</v>
          </cell>
        </row>
        <row r="62">
          <cell r="D62">
            <v>20122</v>
          </cell>
        </row>
        <row r="63">
          <cell r="D63">
            <v>20122</v>
          </cell>
        </row>
        <row r="64">
          <cell r="D64">
            <v>20122</v>
          </cell>
        </row>
        <row r="65">
          <cell r="D65">
            <v>20122</v>
          </cell>
        </row>
        <row r="66">
          <cell r="D66">
            <v>20122</v>
          </cell>
        </row>
        <row r="67">
          <cell r="D67">
            <v>10061</v>
          </cell>
        </row>
        <row r="68">
          <cell r="D68">
            <v>10061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902"/>
      <sheetName val="Payment Plan"/>
      <sheetName val="Nov 20"/>
      <sheetName val="Dec 20"/>
    </sheetNames>
    <sheetDataSet>
      <sheetData sheetId="0">
        <row r="69">
          <cell r="D69">
            <v>16000</v>
          </cell>
        </row>
        <row r="70">
          <cell r="D70">
            <v>16000</v>
          </cell>
        </row>
        <row r="71">
          <cell r="D71">
            <v>-20854</v>
          </cell>
        </row>
        <row r="72">
          <cell r="D72">
            <v>16000</v>
          </cell>
        </row>
        <row r="73">
          <cell r="D73">
            <v>16000</v>
          </cell>
        </row>
        <row r="74">
          <cell r="D74">
            <v>8000</v>
          </cell>
        </row>
        <row r="75">
          <cell r="D75">
            <v>8000</v>
          </cell>
        </row>
        <row r="76">
          <cell r="D76">
            <v>8000</v>
          </cell>
        </row>
        <row r="77">
          <cell r="D77">
            <v>8000</v>
          </cell>
        </row>
        <row r="78">
          <cell r="D78">
            <v>8000</v>
          </cell>
        </row>
        <row r="79">
          <cell r="D79">
            <v>8000</v>
          </cell>
        </row>
        <row r="80">
          <cell r="D80">
            <v>8000</v>
          </cell>
        </row>
        <row r="81">
          <cell r="D81">
            <v>8000</v>
          </cell>
        </row>
        <row r="82">
          <cell r="D82">
            <v>8000</v>
          </cell>
        </row>
        <row r="83">
          <cell r="D83">
            <v>8000</v>
          </cell>
        </row>
        <row r="84">
          <cell r="D84">
            <v>8000</v>
          </cell>
        </row>
        <row r="85">
          <cell r="D85">
            <v>8000</v>
          </cell>
        </row>
        <row r="86">
          <cell r="D86">
            <v>8000</v>
          </cell>
        </row>
        <row r="87">
          <cell r="D87">
            <v>8000</v>
          </cell>
        </row>
        <row r="88">
          <cell r="D88">
            <v>8000</v>
          </cell>
        </row>
        <row r="89">
          <cell r="D89">
            <v>8000</v>
          </cell>
        </row>
        <row r="90">
          <cell r="D90">
            <v>8000</v>
          </cell>
        </row>
        <row r="91">
          <cell r="D91">
            <v>8000</v>
          </cell>
        </row>
        <row r="92">
          <cell r="D92">
            <v>16000</v>
          </cell>
        </row>
        <row r="93">
          <cell r="D93">
            <v>16000</v>
          </cell>
        </row>
        <row r="94">
          <cell r="D94">
            <v>16000</v>
          </cell>
        </row>
        <row r="95">
          <cell r="D95">
            <v>16000</v>
          </cell>
        </row>
        <row r="96">
          <cell r="D96">
            <v>16000</v>
          </cell>
        </row>
        <row r="97">
          <cell r="D97">
            <v>16000</v>
          </cell>
        </row>
        <row r="98">
          <cell r="D98">
            <v>16000</v>
          </cell>
        </row>
        <row r="99">
          <cell r="D99">
            <v>16000</v>
          </cell>
        </row>
        <row r="100">
          <cell r="D100">
            <v>16000</v>
          </cell>
        </row>
        <row r="101">
          <cell r="D101">
            <v>16000</v>
          </cell>
        </row>
        <row r="102">
          <cell r="D102">
            <v>16000</v>
          </cell>
        </row>
        <row r="103">
          <cell r="D103">
            <v>16000</v>
          </cell>
        </row>
        <row r="104">
          <cell r="D104">
            <v>16000</v>
          </cell>
        </row>
        <row r="105">
          <cell r="D105">
            <v>16000</v>
          </cell>
        </row>
        <row r="106">
          <cell r="D106">
            <v>16000</v>
          </cell>
        </row>
        <row r="107">
          <cell r="D107">
            <v>16000</v>
          </cell>
        </row>
        <row r="108">
          <cell r="D108">
            <v>16000</v>
          </cell>
        </row>
        <row r="109">
          <cell r="D109">
            <v>16000</v>
          </cell>
        </row>
        <row r="110">
          <cell r="D110">
            <v>16000</v>
          </cell>
        </row>
        <row r="111">
          <cell r="D111">
            <v>16000</v>
          </cell>
        </row>
        <row r="112">
          <cell r="D112">
            <v>16000</v>
          </cell>
        </row>
        <row r="113">
          <cell r="D113">
            <v>16000</v>
          </cell>
        </row>
        <row r="114">
          <cell r="D114">
            <v>16000</v>
          </cell>
        </row>
        <row r="115">
          <cell r="D115">
            <v>16000</v>
          </cell>
        </row>
        <row r="116">
          <cell r="D116">
            <v>16000</v>
          </cell>
        </row>
        <row r="117">
          <cell r="D117">
            <v>16000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13"/>
    </sheetNames>
    <sheetDataSet>
      <sheetData sheetId="0">
        <row r="45">
          <cell r="D45">
            <v>155000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014"/>
    </sheetNames>
    <sheetDataSet>
      <sheetData sheetId="0">
        <row r="109">
          <cell r="D109">
            <v>2010000</v>
          </cell>
        </row>
      </sheetData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01"/>
    </sheetNames>
    <sheetDataSet>
      <sheetData sheetId="0">
        <row r="121">
          <cell r="D121">
            <v>1437500</v>
          </cell>
        </row>
      </sheetData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03"/>
    </sheetNames>
    <sheetDataSet>
      <sheetData sheetId="0">
        <row r="59">
          <cell r="D59">
            <v>558000</v>
          </cell>
        </row>
      </sheetData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04"/>
    </sheetNames>
    <sheetDataSet>
      <sheetData sheetId="0">
        <row r="45">
          <cell r="D45">
            <v>168000</v>
          </cell>
        </row>
      </sheetData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05"/>
    </sheetNames>
    <sheetDataSet>
      <sheetData sheetId="0">
        <row r="121">
          <cell r="D121">
            <v>2250000</v>
          </cell>
        </row>
      </sheetData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06"/>
    </sheetNames>
    <sheetDataSet>
      <sheetData sheetId="0">
        <row r="59">
          <cell r="D59">
            <v>961000</v>
          </cell>
        </row>
      </sheetData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07"/>
    </sheetNames>
    <sheetDataSet>
      <sheetData sheetId="0">
        <row r="121">
          <cell r="D121">
            <v>2134000</v>
          </cell>
        </row>
      </sheetData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08"/>
    </sheetNames>
    <sheetDataSet>
      <sheetData sheetId="0">
        <row r="109">
          <cell r="D109">
            <v>1860000</v>
          </cell>
        </row>
      </sheetData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09"/>
    </sheetNames>
    <sheetDataSet>
      <sheetData sheetId="0">
        <row r="59">
          <cell r="D59">
            <v>1320000</v>
          </cell>
        </row>
      </sheetData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10"/>
    </sheetNames>
    <sheetDataSet>
      <sheetData sheetId="0">
        <row r="59">
          <cell r="D59">
            <v>1320000</v>
          </cell>
        </row>
      </sheetData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11"/>
    </sheetNames>
    <sheetDataSet>
      <sheetData sheetId="0">
        <row r="121">
          <cell r="D121">
            <v>2340000</v>
          </cell>
        </row>
      </sheetData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- 1114"/>
    </sheetNames>
    <sheetDataSet>
      <sheetData sheetId="0">
        <row r="45">
          <cell r="D45">
            <v>292500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460" row="1">
    <wetp:webextensionref xmlns:r="http://schemas.openxmlformats.org/officeDocument/2006/relationships" r:id="rId2"/>
  </wetp:taskpane>
  <wetp:taskpane dockstate="right" visibility="0" width="350" row="2">
    <wetp:webextensionref xmlns:r="http://schemas.openxmlformats.org/officeDocument/2006/relationships" r:id="rId3"/>
  </wetp:taskpane>
  <wetp:taskpane dockstate="right" visibility="0" width="350" row="3">
    <wetp:webextensionref xmlns:r="http://schemas.openxmlformats.org/officeDocument/2006/relationships" r:id="rId4"/>
  </wetp:taskpane>
  <wetp:taskpane dockstate="right" visibility="0" width="350" row="4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F85B05A2-F4B6-481F-9230-65E7119CC17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e3e247d-8460-4ca8-bf6f-66061fae832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A0624C2-7566-4385-980C-72BDFF56F594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884B373A-21C7-4C55-9DA5-35B9DD894947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9NWU3oqYDcrS4LgpDERLN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346AF46-CEAC-4B75-91C6-B6E40D7D9218}">
  <we:reference id="wa200005281" version="1.0.0.0" store="en-US" storeType="OMEX"/>
  <we:alternateReferences>
    <we:reference id="WA20000528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ebextensions/webextension5.xml><?xml version="1.0" encoding="utf-8"?>
<we:webextension xmlns:we="http://schemas.microsoft.com/office/webextensions/webextension/2010/11" id="{46DC43AE-4EC2-4DA7-9080-D165B3E110FD}">
  <we:reference id="wa200000556" version="1.1.0.0" store="en-US" storeType="OMEX"/>
  <we:alternateReferences>
    <we:reference id="WA200000556" version="1.1.0.0" store="" storeType="OMEX"/>
  </we:alternateReferences>
  <we:properties>
    <we:property name="documentId" value="&quot;05c664f0-30d8-4357-ad08-fc11d78904e9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0"/>
  <sheetViews>
    <sheetView view="pageBreakPreview" zoomScaleSheetLayoutView="100" workbookViewId="0">
      <selection activeCell="B8" sqref="B8"/>
    </sheetView>
  </sheetViews>
  <sheetFormatPr defaultColWidth="8.42578125" defaultRowHeight="15.75" x14ac:dyDescent="0.25"/>
  <cols>
    <col min="1" max="1" width="6.140625" style="1" bestFit="1" customWidth="1"/>
    <col min="2" max="2" width="8.7109375" style="2" bestFit="1" customWidth="1"/>
    <col min="3" max="3" width="25.5703125" style="3" customWidth="1"/>
    <col min="4" max="4" width="6" style="2" customWidth="1"/>
    <col min="5" max="5" width="10.28515625" style="45" customWidth="1"/>
    <col min="6" max="6" width="12.5703125" style="45" bestFit="1" customWidth="1"/>
    <col min="7" max="7" width="8.7109375" style="45" bestFit="1" customWidth="1"/>
    <col min="8" max="8" width="11.5703125" style="45" bestFit="1" customWidth="1"/>
    <col min="9" max="9" width="5.42578125" style="2" customWidth="1"/>
    <col min="10" max="10" width="12.140625" style="3" bestFit="1" customWidth="1"/>
    <col min="11" max="11" width="23.42578125" style="3" customWidth="1"/>
    <col min="12" max="12" width="15.85546875" style="2" bestFit="1" customWidth="1"/>
    <col min="13" max="13" width="19.5703125" style="4" bestFit="1" customWidth="1"/>
    <col min="14" max="14" width="7.5703125" style="2" customWidth="1"/>
    <col min="15" max="15" width="21" style="2" customWidth="1"/>
    <col min="16" max="16384" width="8.42578125" style="2"/>
  </cols>
  <sheetData>
    <row r="1" spans="1:15" ht="31.5" x14ac:dyDescent="0.5">
      <c r="A1" s="508" t="s">
        <v>711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</row>
    <row r="2" spans="1:15" ht="31.5" x14ac:dyDescent="0.5">
      <c r="A2" s="508" t="s">
        <v>713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</row>
    <row r="3" spans="1:15" ht="31.5" x14ac:dyDescent="0.5">
      <c r="A3" s="508" t="s">
        <v>712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</row>
    <row r="4" spans="1:15" ht="32.25" thickBot="1" x14ac:dyDescent="0.55000000000000004">
      <c r="A4" s="58"/>
      <c r="B4" s="58"/>
      <c r="C4" s="60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5" ht="16.5" thickBot="1" x14ac:dyDescent="0.3">
      <c r="A5" s="512" t="s">
        <v>0</v>
      </c>
      <c r="B5" s="521"/>
      <c r="C5" s="522"/>
      <c r="E5" s="515" t="s">
        <v>1</v>
      </c>
      <c r="F5" s="516"/>
      <c r="G5" s="516"/>
      <c r="H5" s="517"/>
      <c r="J5" s="512" t="s">
        <v>2</v>
      </c>
      <c r="K5" s="521"/>
      <c r="L5" s="521"/>
      <c r="M5" s="522"/>
      <c r="O5" s="57"/>
    </row>
    <row r="6" spans="1:15" ht="32.25" thickBot="1" x14ac:dyDescent="0.3">
      <c r="A6" s="5" t="s">
        <v>3</v>
      </c>
      <c r="B6" s="6" t="s">
        <v>4</v>
      </c>
      <c r="C6" s="10" t="s">
        <v>5</v>
      </c>
      <c r="E6" s="7" t="s">
        <v>714</v>
      </c>
      <c r="F6" s="7" t="s">
        <v>6</v>
      </c>
      <c r="G6" s="8" t="s">
        <v>7</v>
      </c>
      <c r="H6" s="8" t="s">
        <v>8</v>
      </c>
      <c r="J6" s="9" t="s">
        <v>9</v>
      </c>
      <c r="K6" s="10" t="s">
        <v>10</v>
      </c>
      <c r="L6" s="10" t="s">
        <v>11</v>
      </c>
      <c r="M6" s="11" t="s">
        <v>12</v>
      </c>
      <c r="O6" s="9" t="s">
        <v>13</v>
      </c>
    </row>
    <row r="7" spans="1:15" ht="16.5" thickBot="1" x14ac:dyDescent="0.3">
      <c r="A7" s="5"/>
      <c r="B7" s="6"/>
      <c r="C7" s="10"/>
      <c r="E7" s="7"/>
      <c r="F7" s="7"/>
      <c r="G7" s="8"/>
      <c r="H7" s="8"/>
      <c r="J7" s="12"/>
      <c r="K7" s="13"/>
      <c r="L7" s="13"/>
      <c r="M7" s="14"/>
      <c r="O7" s="15"/>
    </row>
    <row r="8" spans="1:15" x14ac:dyDescent="0.25">
      <c r="A8" s="63">
        <v>1</v>
      </c>
      <c r="B8" s="16" t="s">
        <v>14</v>
      </c>
      <c r="C8" s="24" t="s">
        <v>602</v>
      </c>
      <c r="E8" s="17" t="s">
        <v>18</v>
      </c>
      <c r="F8" s="17">
        <v>12500</v>
      </c>
      <c r="G8" s="18"/>
      <c r="H8" s="19">
        <f>+F8-G8</f>
        <v>12500</v>
      </c>
      <c r="J8" s="20" t="s">
        <v>586</v>
      </c>
      <c r="K8" s="21" t="s">
        <v>15</v>
      </c>
      <c r="L8" s="22" t="s">
        <v>16</v>
      </c>
      <c r="M8" s="47" t="s">
        <v>17</v>
      </c>
      <c r="O8" s="23" t="s">
        <v>19</v>
      </c>
    </row>
    <row r="9" spans="1:15" ht="31.5" x14ac:dyDescent="0.25">
      <c r="A9" s="63">
        <v>2</v>
      </c>
      <c r="B9" s="16" t="s">
        <v>20</v>
      </c>
      <c r="C9" s="59" t="s">
        <v>715</v>
      </c>
      <c r="E9" s="17" t="s">
        <v>18</v>
      </c>
      <c r="F9" s="17">
        <v>15000</v>
      </c>
      <c r="G9" s="18">
        <f>+F9*10%</f>
        <v>1500</v>
      </c>
      <c r="H9" s="19">
        <f t="shared" ref="H9:H75" si="0">+F9-G9</f>
        <v>13500</v>
      </c>
      <c r="J9" s="25" t="s">
        <v>21</v>
      </c>
      <c r="K9" s="26" t="s">
        <v>22</v>
      </c>
      <c r="L9" s="27" t="s">
        <v>23</v>
      </c>
      <c r="M9" s="48" t="s">
        <v>24</v>
      </c>
      <c r="O9" s="25" t="s">
        <v>25</v>
      </c>
    </row>
    <row r="10" spans="1:15" hidden="1" x14ac:dyDescent="0.25">
      <c r="A10" s="28">
        <v>3</v>
      </c>
      <c r="B10" s="27" t="s">
        <v>26</v>
      </c>
      <c r="C10" s="26" t="s">
        <v>603</v>
      </c>
      <c r="E10" s="17" t="s">
        <v>30</v>
      </c>
      <c r="F10" s="17">
        <v>15000</v>
      </c>
      <c r="G10" s="18"/>
      <c r="H10" s="19">
        <f t="shared" si="0"/>
        <v>15000</v>
      </c>
      <c r="J10" s="25" t="s">
        <v>585</v>
      </c>
      <c r="K10" s="26" t="s">
        <v>27</v>
      </c>
      <c r="L10" s="27" t="s">
        <v>28</v>
      </c>
      <c r="M10" s="48" t="s">
        <v>29</v>
      </c>
      <c r="O10" s="29" t="s">
        <v>31</v>
      </c>
    </row>
    <row r="11" spans="1:15" hidden="1" x14ac:dyDescent="0.25">
      <c r="A11" s="63">
        <v>4</v>
      </c>
      <c r="B11" s="27" t="s">
        <v>32</v>
      </c>
      <c r="C11" s="26" t="s">
        <v>604</v>
      </c>
      <c r="E11" s="30" t="s">
        <v>30</v>
      </c>
      <c r="F11" s="17">
        <v>15000</v>
      </c>
      <c r="G11" s="18"/>
      <c r="H11" s="19">
        <f t="shared" si="0"/>
        <v>15000</v>
      </c>
      <c r="J11" s="25" t="s">
        <v>21</v>
      </c>
      <c r="K11" s="26" t="s">
        <v>33</v>
      </c>
      <c r="L11" s="27" t="s">
        <v>34</v>
      </c>
      <c r="M11" s="48" t="s">
        <v>35</v>
      </c>
      <c r="O11" s="29" t="s">
        <v>36</v>
      </c>
    </row>
    <row r="12" spans="1:15" ht="31.5" x14ac:dyDescent="0.25">
      <c r="A12" s="63">
        <v>5</v>
      </c>
      <c r="B12" s="27" t="s">
        <v>37</v>
      </c>
      <c r="C12" s="26" t="s">
        <v>38</v>
      </c>
      <c r="E12" s="17" t="s">
        <v>18</v>
      </c>
      <c r="F12" s="17">
        <v>14250</v>
      </c>
      <c r="G12" s="18"/>
      <c r="H12" s="19">
        <f t="shared" si="0"/>
        <v>14250</v>
      </c>
      <c r="J12" s="25" t="s">
        <v>407</v>
      </c>
      <c r="K12" s="26" t="s">
        <v>39</v>
      </c>
      <c r="L12" s="27" t="s">
        <v>40</v>
      </c>
      <c r="M12" s="48" t="s">
        <v>41</v>
      </c>
      <c r="O12" s="29" t="s">
        <v>42</v>
      </c>
    </row>
    <row r="13" spans="1:15" x14ac:dyDescent="0.25">
      <c r="A13" s="63">
        <v>6</v>
      </c>
      <c r="B13" s="27" t="s">
        <v>43</v>
      </c>
      <c r="C13" s="26" t="s">
        <v>605</v>
      </c>
      <c r="E13" s="17" t="s">
        <v>18</v>
      </c>
      <c r="F13" s="17">
        <v>15000</v>
      </c>
      <c r="G13" s="18"/>
      <c r="H13" s="19">
        <f t="shared" si="0"/>
        <v>15000</v>
      </c>
      <c r="J13" s="25" t="s">
        <v>21</v>
      </c>
      <c r="K13" s="26" t="s">
        <v>44</v>
      </c>
      <c r="L13" s="27" t="s">
        <v>45</v>
      </c>
      <c r="M13" s="48" t="s">
        <v>46</v>
      </c>
      <c r="O13" s="29" t="s">
        <v>47</v>
      </c>
    </row>
    <row r="14" spans="1:15" x14ac:dyDescent="0.25">
      <c r="A14" s="28">
        <v>7</v>
      </c>
      <c r="B14" s="31" t="s">
        <v>48</v>
      </c>
      <c r="C14" s="46" t="s">
        <v>606</v>
      </c>
      <c r="E14" s="17" t="s">
        <v>18</v>
      </c>
      <c r="F14" s="17">
        <v>8000</v>
      </c>
      <c r="G14" s="18"/>
      <c r="H14" s="19">
        <f t="shared" si="0"/>
        <v>8000</v>
      </c>
      <c r="J14" s="25" t="s">
        <v>407</v>
      </c>
      <c r="K14" s="26" t="s">
        <v>15</v>
      </c>
      <c r="L14" s="27" t="s">
        <v>49</v>
      </c>
      <c r="M14" s="48" t="s">
        <v>50</v>
      </c>
      <c r="O14" s="32" t="s">
        <v>51</v>
      </c>
    </row>
    <row r="15" spans="1:15" x14ac:dyDescent="0.25">
      <c r="A15" s="63">
        <v>8</v>
      </c>
      <c r="B15" s="31" t="s">
        <v>52</v>
      </c>
      <c r="C15" s="46" t="s">
        <v>607</v>
      </c>
      <c r="E15" s="30" t="s">
        <v>18</v>
      </c>
      <c r="F15" s="30">
        <v>8000</v>
      </c>
      <c r="G15" s="19"/>
      <c r="H15" s="19">
        <f t="shared" si="0"/>
        <v>8000</v>
      </c>
      <c r="J15" s="29" t="s">
        <v>590</v>
      </c>
      <c r="K15" s="26" t="s">
        <v>53</v>
      </c>
      <c r="L15" s="27" t="s">
        <v>54</v>
      </c>
      <c r="M15" s="29" t="s">
        <v>55</v>
      </c>
      <c r="O15" s="29" t="s">
        <v>56</v>
      </c>
    </row>
    <row r="16" spans="1:15" x14ac:dyDescent="0.25">
      <c r="A16" s="63">
        <v>9</v>
      </c>
      <c r="B16" s="27" t="s">
        <v>57</v>
      </c>
      <c r="C16" s="26" t="s">
        <v>608</v>
      </c>
      <c r="E16" s="17" t="s">
        <v>18</v>
      </c>
      <c r="F16" s="17">
        <v>8000</v>
      </c>
      <c r="G16" s="18"/>
      <c r="H16" s="19">
        <f t="shared" si="0"/>
        <v>8000</v>
      </c>
      <c r="J16" s="29" t="s">
        <v>587</v>
      </c>
      <c r="K16" s="26" t="s">
        <v>754</v>
      </c>
      <c r="L16" s="27" t="s">
        <v>58</v>
      </c>
      <c r="M16" s="49" t="s">
        <v>59</v>
      </c>
      <c r="O16" s="29" t="s">
        <v>60</v>
      </c>
    </row>
    <row r="17" spans="1:15" x14ac:dyDescent="0.25">
      <c r="A17" s="63">
        <v>10</v>
      </c>
      <c r="B17" s="27" t="s">
        <v>61</v>
      </c>
      <c r="C17" s="26" t="s">
        <v>609</v>
      </c>
      <c r="E17" s="17" t="s">
        <v>18</v>
      </c>
      <c r="F17" s="17">
        <v>8000</v>
      </c>
      <c r="G17" s="18"/>
      <c r="H17" s="19">
        <f t="shared" si="0"/>
        <v>8000</v>
      </c>
      <c r="J17" s="25" t="s">
        <v>587</v>
      </c>
      <c r="K17" s="26" t="s">
        <v>62</v>
      </c>
      <c r="L17" s="27" t="s">
        <v>63</v>
      </c>
      <c r="M17" s="48" t="s">
        <v>64</v>
      </c>
      <c r="O17" s="29" t="s">
        <v>65</v>
      </c>
    </row>
    <row r="18" spans="1:15" x14ac:dyDescent="0.25">
      <c r="A18" s="28">
        <v>11</v>
      </c>
      <c r="B18" s="27" t="s">
        <v>66</v>
      </c>
      <c r="C18" s="33" t="s">
        <v>610</v>
      </c>
      <c r="E18" s="17" t="s">
        <v>18</v>
      </c>
      <c r="F18" s="17">
        <v>8000</v>
      </c>
      <c r="G18" s="18"/>
      <c r="H18" s="19">
        <f t="shared" si="0"/>
        <v>8000</v>
      </c>
      <c r="J18" s="25" t="s">
        <v>430</v>
      </c>
      <c r="K18" s="26" t="s">
        <v>67</v>
      </c>
      <c r="L18" s="27" t="s">
        <v>68</v>
      </c>
      <c r="M18" s="48" t="s">
        <v>69</v>
      </c>
      <c r="O18" s="29" t="s">
        <v>70</v>
      </c>
    </row>
    <row r="19" spans="1:15" ht="31.5" x14ac:dyDescent="0.25">
      <c r="A19" s="63">
        <v>12</v>
      </c>
      <c r="B19" s="27" t="s">
        <v>71</v>
      </c>
      <c r="C19" s="33" t="s">
        <v>710</v>
      </c>
      <c r="E19" s="17" t="s">
        <v>18</v>
      </c>
      <c r="F19" s="17">
        <v>11000</v>
      </c>
      <c r="G19" s="18"/>
      <c r="H19" s="19">
        <f t="shared" si="0"/>
        <v>11000</v>
      </c>
      <c r="J19" s="35" t="s">
        <v>430</v>
      </c>
      <c r="K19" s="46" t="s">
        <v>72</v>
      </c>
      <c r="L19" s="31" t="s">
        <v>578</v>
      </c>
      <c r="M19" s="50" t="s">
        <v>579</v>
      </c>
      <c r="O19" s="29" t="s">
        <v>73</v>
      </c>
    </row>
    <row r="20" spans="1:15" x14ac:dyDescent="0.25">
      <c r="A20" s="63">
        <v>13</v>
      </c>
      <c r="B20" s="31" t="s">
        <v>74</v>
      </c>
      <c r="C20" s="33" t="s">
        <v>611</v>
      </c>
      <c r="E20" s="30" t="s">
        <v>18</v>
      </c>
      <c r="F20" s="30">
        <v>12500</v>
      </c>
      <c r="G20" s="19"/>
      <c r="H20" s="19">
        <f t="shared" si="0"/>
        <v>12500</v>
      </c>
      <c r="J20" s="25" t="s">
        <v>75</v>
      </c>
      <c r="K20" s="26" t="s">
        <v>76</v>
      </c>
      <c r="L20" s="27" t="s">
        <v>77</v>
      </c>
      <c r="M20" s="48" t="s">
        <v>78</v>
      </c>
      <c r="O20" s="29" t="s">
        <v>79</v>
      </c>
    </row>
    <row r="21" spans="1:15" x14ac:dyDescent="0.25">
      <c r="A21" s="63">
        <v>14</v>
      </c>
      <c r="B21" s="31" t="s">
        <v>80</v>
      </c>
      <c r="C21" s="33" t="s">
        <v>612</v>
      </c>
      <c r="E21" s="30" t="s">
        <v>18</v>
      </c>
      <c r="F21" s="30">
        <v>12500</v>
      </c>
      <c r="G21" s="19">
        <f>+F21*10%</f>
        <v>1250</v>
      </c>
      <c r="H21" s="19">
        <f t="shared" si="0"/>
        <v>11250</v>
      </c>
      <c r="J21" s="25" t="s">
        <v>412</v>
      </c>
      <c r="K21" s="26" t="s">
        <v>81</v>
      </c>
      <c r="L21" s="27" t="s">
        <v>82</v>
      </c>
      <c r="M21" s="48" t="s">
        <v>83</v>
      </c>
      <c r="O21" s="29" t="s">
        <v>84</v>
      </c>
    </row>
    <row r="22" spans="1:15" ht="31.5" x14ac:dyDescent="0.25">
      <c r="A22" s="28">
        <v>15</v>
      </c>
      <c r="B22" s="31" t="s">
        <v>85</v>
      </c>
      <c r="C22" s="33" t="s">
        <v>613</v>
      </c>
      <c r="E22" s="30" t="s">
        <v>18</v>
      </c>
      <c r="F22" s="30">
        <v>12500</v>
      </c>
      <c r="G22" s="19">
        <f>+F22*10%</f>
        <v>1250</v>
      </c>
      <c r="H22" s="19">
        <f t="shared" si="0"/>
        <v>11250</v>
      </c>
      <c r="J22" s="25" t="s">
        <v>412</v>
      </c>
      <c r="K22" s="26" t="s">
        <v>86</v>
      </c>
      <c r="L22" s="27" t="s">
        <v>82</v>
      </c>
      <c r="M22" s="48" t="s">
        <v>83</v>
      </c>
      <c r="O22" s="29" t="s">
        <v>87</v>
      </c>
    </row>
    <row r="23" spans="1:15" x14ac:dyDescent="0.25">
      <c r="A23" s="63">
        <v>16</v>
      </c>
      <c r="B23" s="27" t="s">
        <v>88</v>
      </c>
      <c r="C23" s="26" t="s">
        <v>709</v>
      </c>
      <c r="E23" s="30" t="s">
        <v>18</v>
      </c>
      <c r="F23" s="17">
        <v>15000</v>
      </c>
      <c r="G23" s="18"/>
      <c r="H23" s="19">
        <f t="shared" si="0"/>
        <v>15000</v>
      </c>
      <c r="J23" s="29" t="s">
        <v>588</v>
      </c>
      <c r="K23" s="26" t="s">
        <v>15</v>
      </c>
      <c r="L23" s="27" t="s">
        <v>580</v>
      </c>
      <c r="M23" s="49" t="s">
        <v>89</v>
      </c>
      <c r="O23" s="29" t="s">
        <v>90</v>
      </c>
    </row>
    <row r="24" spans="1:15" ht="31.5" hidden="1" x14ac:dyDescent="0.25">
      <c r="A24" s="63">
        <v>17</v>
      </c>
      <c r="B24" s="27" t="s">
        <v>91</v>
      </c>
      <c r="C24" s="26" t="s">
        <v>614</v>
      </c>
      <c r="E24" s="30" t="s">
        <v>30</v>
      </c>
      <c r="F24" s="17">
        <v>8000</v>
      </c>
      <c r="G24" s="18"/>
      <c r="H24" s="19">
        <f t="shared" si="0"/>
        <v>8000</v>
      </c>
      <c r="J24" s="29" t="s">
        <v>407</v>
      </c>
      <c r="K24" s="26" t="s">
        <v>92</v>
      </c>
      <c r="L24" s="27" t="s">
        <v>93</v>
      </c>
      <c r="M24" s="49" t="s">
        <v>94</v>
      </c>
      <c r="O24" s="29" t="s">
        <v>95</v>
      </c>
    </row>
    <row r="25" spans="1:15" x14ac:dyDescent="0.25">
      <c r="A25" s="63">
        <v>18</v>
      </c>
      <c r="B25" s="27" t="s">
        <v>96</v>
      </c>
      <c r="C25" s="26" t="s">
        <v>615</v>
      </c>
      <c r="E25" s="30" t="s">
        <v>18</v>
      </c>
      <c r="F25" s="17">
        <v>8000</v>
      </c>
      <c r="G25" s="18"/>
      <c r="H25" s="19">
        <f t="shared" si="0"/>
        <v>8000</v>
      </c>
      <c r="J25" s="29" t="s">
        <v>21</v>
      </c>
      <c r="K25" s="26" t="s">
        <v>97</v>
      </c>
      <c r="L25" s="27" t="s">
        <v>98</v>
      </c>
      <c r="M25" s="49" t="s">
        <v>99</v>
      </c>
      <c r="O25" s="29" t="s">
        <v>100</v>
      </c>
    </row>
    <row r="26" spans="1:15" x14ac:dyDescent="0.25">
      <c r="A26" s="28">
        <v>19</v>
      </c>
      <c r="B26" s="27" t="s">
        <v>101</v>
      </c>
      <c r="C26" s="33" t="s">
        <v>616</v>
      </c>
      <c r="E26" s="17" t="s">
        <v>18</v>
      </c>
      <c r="F26" s="17">
        <v>8000</v>
      </c>
      <c r="G26" s="18"/>
      <c r="H26" s="19">
        <f t="shared" si="0"/>
        <v>8000</v>
      </c>
      <c r="J26" s="25" t="s">
        <v>75</v>
      </c>
      <c r="K26" s="26" t="s">
        <v>102</v>
      </c>
      <c r="L26" s="27" t="s">
        <v>103</v>
      </c>
      <c r="M26" s="48" t="s">
        <v>104</v>
      </c>
      <c r="O26" s="29" t="s">
        <v>105</v>
      </c>
    </row>
    <row r="27" spans="1:15" hidden="1" x14ac:dyDescent="0.25">
      <c r="A27" s="63">
        <v>20</v>
      </c>
      <c r="B27" s="27" t="s">
        <v>106</v>
      </c>
      <c r="C27" s="26" t="s">
        <v>617</v>
      </c>
      <c r="E27" s="30" t="s">
        <v>30</v>
      </c>
      <c r="F27" s="30">
        <v>8000</v>
      </c>
      <c r="G27" s="18"/>
      <c r="H27" s="19">
        <f t="shared" si="0"/>
        <v>8000</v>
      </c>
      <c r="J27" s="29" t="s">
        <v>430</v>
      </c>
      <c r="K27" s="26" t="s">
        <v>598</v>
      </c>
      <c r="L27" s="27" t="s">
        <v>599</v>
      </c>
      <c r="M27" s="49" t="s">
        <v>600</v>
      </c>
      <c r="O27" s="29" t="s">
        <v>750</v>
      </c>
    </row>
    <row r="28" spans="1:15" hidden="1" x14ac:dyDescent="0.25">
      <c r="A28" s="63">
        <v>21</v>
      </c>
      <c r="B28" s="27" t="s">
        <v>107</v>
      </c>
      <c r="C28" s="33" t="s">
        <v>618</v>
      </c>
      <c r="E28" s="17" t="s">
        <v>30</v>
      </c>
      <c r="F28" s="17">
        <v>8000</v>
      </c>
      <c r="G28" s="18"/>
      <c r="H28" s="19">
        <f t="shared" si="0"/>
        <v>8000</v>
      </c>
      <c r="J28" s="25" t="s">
        <v>596</v>
      </c>
      <c r="K28" s="26" t="s">
        <v>108</v>
      </c>
      <c r="L28" s="27" t="s">
        <v>109</v>
      </c>
      <c r="M28" s="48" t="s">
        <v>110</v>
      </c>
      <c r="O28" s="29" t="s">
        <v>111</v>
      </c>
    </row>
    <row r="29" spans="1:15" ht="31.5" hidden="1" x14ac:dyDescent="0.25">
      <c r="A29" s="63">
        <v>22</v>
      </c>
      <c r="B29" s="27" t="s">
        <v>112</v>
      </c>
      <c r="C29" s="33" t="s">
        <v>619</v>
      </c>
      <c r="E29" s="17" t="s">
        <v>30</v>
      </c>
      <c r="F29" s="17">
        <v>12500</v>
      </c>
      <c r="G29" s="18"/>
      <c r="H29" s="19">
        <f t="shared" si="0"/>
        <v>12500</v>
      </c>
      <c r="J29" s="25" t="s">
        <v>21</v>
      </c>
      <c r="K29" s="26" t="s">
        <v>113</v>
      </c>
      <c r="L29" s="27" t="s">
        <v>114</v>
      </c>
      <c r="M29" s="48">
        <v>32261313236</v>
      </c>
      <c r="O29" s="29" t="s">
        <v>115</v>
      </c>
    </row>
    <row r="30" spans="1:15" x14ac:dyDescent="0.25">
      <c r="A30" s="28">
        <v>23</v>
      </c>
      <c r="B30" s="27" t="s">
        <v>116</v>
      </c>
      <c r="C30" s="26" t="s">
        <v>620</v>
      </c>
      <c r="E30" s="30" t="s">
        <v>18</v>
      </c>
      <c r="F30" s="30">
        <v>8000</v>
      </c>
      <c r="G30" s="19"/>
      <c r="H30" s="19">
        <f t="shared" si="0"/>
        <v>8000</v>
      </c>
      <c r="J30" s="29" t="s">
        <v>589</v>
      </c>
      <c r="K30" s="26" t="s">
        <v>117</v>
      </c>
      <c r="L30" s="27" t="s">
        <v>118</v>
      </c>
      <c r="M30" s="49" t="s">
        <v>119</v>
      </c>
      <c r="O30" s="29" t="s">
        <v>120</v>
      </c>
    </row>
    <row r="31" spans="1:15" hidden="1" x14ac:dyDescent="0.25">
      <c r="A31" s="63">
        <v>24</v>
      </c>
      <c r="B31" s="27" t="s">
        <v>737</v>
      </c>
      <c r="C31" s="33" t="s">
        <v>743</v>
      </c>
      <c r="E31" s="30"/>
      <c r="F31" s="30"/>
      <c r="G31" s="19"/>
      <c r="H31" s="19"/>
      <c r="J31" s="29"/>
      <c r="K31" s="26"/>
      <c r="L31" s="27"/>
      <c r="M31" s="49"/>
      <c r="O31" s="29"/>
    </row>
    <row r="32" spans="1:15" x14ac:dyDescent="0.25">
      <c r="A32" s="63">
        <v>25</v>
      </c>
      <c r="B32" s="27" t="s">
        <v>121</v>
      </c>
      <c r="C32" s="33" t="s">
        <v>621</v>
      </c>
      <c r="E32" s="17" t="s">
        <v>18</v>
      </c>
      <c r="F32" s="17">
        <v>11000</v>
      </c>
      <c r="G32" s="18"/>
      <c r="H32" s="19">
        <f t="shared" si="0"/>
        <v>11000</v>
      </c>
      <c r="J32" s="25" t="s">
        <v>430</v>
      </c>
      <c r="K32" s="26" t="s">
        <v>122</v>
      </c>
      <c r="L32" s="27" t="s">
        <v>123</v>
      </c>
      <c r="M32" s="48" t="s">
        <v>124</v>
      </c>
      <c r="O32" s="29" t="s">
        <v>125</v>
      </c>
    </row>
    <row r="33" spans="1:15" x14ac:dyDescent="0.25">
      <c r="A33" s="63">
        <v>26</v>
      </c>
      <c r="B33" s="27" t="s">
        <v>126</v>
      </c>
      <c r="C33" s="33" t="s">
        <v>622</v>
      </c>
      <c r="E33" s="17" t="s">
        <v>18</v>
      </c>
      <c r="F33" s="17">
        <v>11000</v>
      </c>
      <c r="G33" s="18"/>
      <c r="H33" s="19">
        <f t="shared" si="0"/>
        <v>11000</v>
      </c>
      <c r="J33" s="25" t="s">
        <v>407</v>
      </c>
      <c r="K33" s="26" t="s">
        <v>127</v>
      </c>
      <c r="L33" s="27" t="s">
        <v>128</v>
      </c>
      <c r="M33" s="48" t="s">
        <v>129</v>
      </c>
      <c r="O33" s="29" t="s">
        <v>130</v>
      </c>
    </row>
    <row r="34" spans="1:15" x14ac:dyDescent="0.25">
      <c r="A34" s="28">
        <v>27</v>
      </c>
      <c r="B34" s="27" t="s">
        <v>131</v>
      </c>
      <c r="C34" s="33" t="s">
        <v>623</v>
      </c>
      <c r="E34" s="17" t="s">
        <v>18</v>
      </c>
      <c r="F34" s="17">
        <v>8000</v>
      </c>
      <c r="G34" s="18"/>
      <c r="H34" s="19">
        <f t="shared" si="0"/>
        <v>8000</v>
      </c>
      <c r="J34" s="25" t="s">
        <v>586</v>
      </c>
      <c r="K34" s="26" t="s">
        <v>132</v>
      </c>
      <c r="L34" s="27" t="s">
        <v>133</v>
      </c>
      <c r="M34" s="48" t="s">
        <v>134</v>
      </c>
      <c r="O34" s="29" t="s">
        <v>135</v>
      </c>
    </row>
    <row r="35" spans="1:15" x14ac:dyDescent="0.25">
      <c r="A35" s="63">
        <v>28</v>
      </c>
      <c r="B35" s="31" t="s">
        <v>136</v>
      </c>
      <c r="C35" s="33" t="s">
        <v>708</v>
      </c>
      <c r="E35" s="30" t="s">
        <v>18</v>
      </c>
      <c r="F35" s="30">
        <v>14000</v>
      </c>
      <c r="G35" s="19">
        <f>+F35*10%</f>
        <v>1400</v>
      </c>
      <c r="H35" s="19">
        <f t="shared" si="0"/>
        <v>12600</v>
      </c>
      <c r="J35" s="25" t="s">
        <v>430</v>
      </c>
      <c r="K35" s="26" t="s">
        <v>127</v>
      </c>
      <c r="L35" s="27" t="s">
        <v>137</v>
      </c>
      <c r="M35" s="48" t="s">
        <v>138</v>
      </c>
      <c r="O35" s="29" t="s">
        <v>139</v>
      </c>
    </row>
    <row r="36" spans="1:15" x14ac:dyDescent="0.25">
      <c r="A36" s="63">
        <v>29</v>
      </c>
      <c r="B36" s="27" t="s">
        <v>140</v>
      </c>
      <c r="C36" s="33" t="s">
        <v>707</v>
      </c>
      <c r="E36" s="30" t="s">
        <v>18</v>
      </c>
      <c r="F36" s="17">
        <v>14000</v>
      </c>
      <c r="G36" s="18"/>
      <c r="H36" s="19">
        <f t="shared" si="0"/>
        <v>14000</v>
      </c>
      <c r="J36" s="25" t="s">
        <v>412</v>
      </c>
      <c r="K36" s="26" t="s">
        <v>141</v>
      </c>
      <c r="L36" s="27" t="s">
        <v>142</v>
      </c>
      <c r="M36" s="48" t="s">
        <v>143</v>
      </c>
      <c r="O36" s="29" t="s">
        <v>144</v>
      </c>
    </row>
    <row r="37" spans="1:15" x14ac:dyDescent="0.25">
      <c r="A37" s="63">
        <v>30</v>
      </c>
      <c r="B37" s="27" t="s">
        <v>145</v>
      </c>
      <c r="C37" s="26" t="s">
        <v>624</v>
      </c>
      <c r="E37" s="30" t="s">
        <v>18</v>
      </c>
      <c r="F37" s="17">
        <v>8000</v>
      </c>
      <c r="G37" s="18"/>
      <c r="H37" s="19">
        <f t="shared" si="0"/>
        <v>8000</v>
      </c>
      <c r="J37" s="25" t="s">
        <v>21</v>
      </c>
      <c r="K37" s="26" t="s">
        <v>117</v>
      </c>
      <c r="L37" s="27" t="s">
        <v>146</v>
      </c>
      <c r="M37" s="48" t="s">
        <v>147</v>
      </c>
      <c r="O37" s="29" t="s">
        <v>148</v>
      </c>
    </row>
    <row r="38" spans="1:15" ht="31.5" hidden="1" x14ac:dyDescent="0.25">
      <c r="A38" s="28">
        <v>31</v>
      </c>
      <c r="B38" s="27" t="s">
        <v>738</v>
      </c>
      <c r="C38" s="33" t="s">
        <v>739</v>
      </c>
      <c r="E38" s="17" t="s">
        <v>30</v>
      </c>
      <c r="F38" s="17">
        <v>30000</v>
      </c>
      <c r="G38" s="18">
        <f>+F38*10%</f>
        <v>3000</v>
      </c>
      <c r="H38" s="19">
        <f t="shared" si="0"/>
        <v>27000</v>
      </c>
      <c r="J38" s="25" t="s">
        <v>588</v>
      </c>
      <c r="K38" s="26" t="s">
        <v>117</v>
      </c>
      <c r="L38" s="27" t="s">
        <v>740</v>
      </c>
      <c r="M38" s="48" t="s">
        <v>741</v>
      </c>
      <c r="O38" s="25" t="s">
        <v>742</v>
      </c>
    </row>
    <row r="39" spans="1:15" hidden="1" x14ac:dyDescent="0.25">
      <c r="A39" s="63">
        <v>32</v>
      </c>
      <c r="B39" s="27" t="s">
        <v>149</v>
      </c>
      <c r="C39" s="33" t="s">
        <v>625</v>
      </c>
      <c r="E39" s="17" t="s">
        <v>30</v>
      </c>
      <c r="F39" s="17">
        <v>8000</v>
      </c>
      <c r="G39" s="18"/>
      <c r="H39" s="19">
        <f t="shared" si="0"/>
        <v>8000</v>
      </c>
      <c r="J39" s="25" t="s">
        <v>590</v>
      </c>
      <c r="K39" s="26" t="s">
        <v>150</v>
      </c>
      <c r="L39" s="27" t="s">
        <v>151</v>
      </c>
      <c r="M39" s="48" t="s">
        <v>152</v>
      </c>
      <c r="O39" s="29" t="s">
        <v>153</v>
      </c>
    </row>
    <row r="40" spans="1:15" x14ac:dyDescent="0.25">
      <c r="A40" s="63">
        <v>33</v>
      </c>
      <c r="B40" s="27" t="s">
        <v>154</v>
      </c>
      <c r="C40" s="26" t="s">
        <v>626</v>
      </c>
      <c r="E40" s="30" t="s">
        <v>18</v>
      </c>
      <c r="F40" s="17">
        <v>11000</v>
      </c>
      <c r="G40" s="18"/>
      <c r="H40" s="19">
        <f t="shared" si="0"/>
        <v>11000</v>
      </c>
      <c r="J40" s="29" t="s">
        <v>412</v>
      </c>
      <c r="K40" s="26" t="s">
        <v>155</v>
      </c>
      <c r="L40" s="27" t="s">
        <v>156</v>
      </c>
      <c r="M40" s="49" t="s">
        <v>157</v>
      </c>
      <c r="O40" s="29" t="s">
        <v>158</v>
      </c>
    </row>
    <row r="41" spans="1:15" x14ac:dyDescent="0.25">
      <c r="A41" s="63">
        <v>34</v>
      </c>
      <c r="B41" s="27" t="s">
        <v>159</v>
      </c>
      <c r="C41" s="33" t="s">
        <v>627</v>
      </c>
      <c r="E41" s="17" t="s">
        <v>18</v>
      </c>
      <c r="F41" s="17">
        <v>8000</v>
      </c>
      <c r="G41" s="18"/>
      <c r="H41" s="19">
        <f t="shared" si="0"/>
        <v>8000</v>
      </c>
      <c r="J41" s="25" t="s">
        <v>412</v>
      </c>
      <c r="K41" s="26" t="s">
        <v>160</v>
      </c>
      <c r="L41" s="27" t="s">
        <v>161</v>
      </c>
      <c r="M41" s="48" t="s">
        <v>162</v>
      </c>
      <c r="O41" s="29" t="s">
        <v>163</v>
      </c>
    </row>
    <row r="42" spans="1:15" x14ac:dyDescent="0.25">
      <c r="A42" s="28">
        <v>35</v>
      </c>
      <c r="B42" s="27" t="s">
        <v>164</v>
      </c>
      <c r="C42" s="26" t="s">
        <v>628</v>
      </c>
      <c r="E42" s="30" t="s">
        <v>18</v>
      </c>
      <c r="F42" s="30">
        <v>8000</v>
      </c>
      <c r="G42" s="18"/>
      <c r="H42" s="19">
        <f t="shared" si="0"/>
        <v>8000</v>
      </c>
      <c r="J42" s="29" t="s">
        <v>597</v>
      </c>
      <c r="K42" s="26" t="s">
        <v>165</v>
      </c>
      <c r="L42" s="27" t="s">
        <v>166</v>
      </c>
      <c r="M42" s="49" t="s">
        <v>167</v>
      </c>
      <c r="O42" s="29" t="s">
        <v>168</v>
      </c>
    </row>
    <row r="43" spans="1:15" hidden="1" x14ac:dyDescent="0.25">
      <c r="A43" s="63">
        <v>36</v>
      </c>
      <c r="B43" s="27" t="s">
        <v>169</v>
      </c>
      <c r="C43" s="33" t="s">
        <v>629</v>
      </c>
      <c r="E43" s="17" t="s">
        <v>30</v>
      </c>
      <c r="F43" s="17">
        <v>10500</v>
      </c>
      <c r="G43" s="18"/>
      <c r="H43" s="19">
        <f t="shared" si="0"/>
        <v>10500</v>
      </c>
      <c r="J43" s="25" t="s">
        <v>430</v>
      </c>
      <c r="K43" s="26" t="s">
        <v>170</v>
      </c>
      <c r="L43" s="27" t="s">
        <v>733</v>
      </c>
      <c r="M43" s="48" t="s">
        <v>734</v>
      </c>
      <c r="O43" s="29" t="s">
        <v>171</v>
      </c>
    </row>
    <row r="44" spans="1:15" hidden="1" x14ac:dyDescent="0.25">
      <c r="A44" s="63">
        <v>37</v>
      </c>
      <c r="B44" s="27" t="s">
        <v>172</v>
      </c>
      <c r="C44" s="33" t="s">
        <v>630</v>
      </c>
      <c r="E44" s="17" t="s">
        <v>30</v>
      </c>
      <c r="F44" s="17">
        <v>8000</v>
      </c>
      <c r="G44" s="18"/>
      <c r="H44" s="19">
        <f t="shared" si="0"/>
        <v>8000</v>
      </c>
      <c r="J44" s="25" t="s">
        <v>586</v>
      </c>
      <c r="K44" s="26" t="s">
        <v>173</v>
      </c>
      <c r="L44" s="27" t="s">
        <v>174</v>
      </c>
      <c r="M44" s="48" t="s">
        <v>175</v>
      </c>
      <c r="O44" s="29" t="s">
        <v>176</v>
      </c>
    </row>
    <row r="45" spans="1:15" x14ac:dyDescent="0.25">
      <c r="A45" s="63">
        <v>38</v>
      </c>
      <c r="B45" s="27" t="s">
        <v>177</v>
      </c>
      <c r="C45" s="33" t="s">
        <v>631</v>
      </c>
      <c r="E45" s="17" t="s">
        <v>18</v>
      </c>
      <c r="F45" s="17">
        <v>15000</v>
      </c>
      <c r="G45" s="18"/>
      <c r="H45" s="19">
        <f t="shared" si="0"/>
        <v>15000</v>
      </c>
      <c r="J45" s="25" t="s">
        <v>588</v>
      </c>
      <c r="K45" s="26" t="s">
        <v>178</v>
      </c>
      <c r="L45" s="27" t="s">
        <v>179</v>
      </c>
      <c r="M45" s="48" t="s">
        <v>180</v>
      </c>
      <c r="O45" s="29" t="s">
        <v>181</v>
      </c>
    </row>
    <row r="46" spans="1:15" hidden="1" x14ac:dyDescent="0.25">
      <c r="A46" s="28">
        <v>39</v>
      </c>
      <c r="B46" s="27" t="s">
        <v>182</v>
      </c>
      <c r="C46" s="33" t="s">
        <v>632</v>
      </c>
      <c r="E46" s="17" t="s">
        <v>30</v>
      </c>
      <c r="F46" s="17">
        <v>8000</v>
      </c>
      <c r="G46" s="18">
        <f>+F46*10%</f>
        <v>800</v>
      </c>
      <c r="H46" s="19">
        <f t="shared" si="0"/>
        <v>7200</v>
      </c>
      <c r="J46" s="25" t="s">
        <v>412</v>
      </c>
      <c r="K46" s="26" t="s">
        <v>183</v>
      </c>
      <c r="L46" s="27" t="s">
        <v>184</v>
      </c>
      <c r="M46" s="48" t="s">
        <v>185</v>
      </c>
      <c r="O46" s="29" t="s">
        <v>186</v>
      </c>
    </row>
    <row r="47" spans="1:15" ht="31.5" x14ac:dyDescent="0.25">
      <c r="A47" s="63">
        <v>40</v>
      </c>
      <c r="B47" s="27" t="s">
        <v>187</v>
      </c>
      <c r="C47" s="34" t="s">
        <v>716</v>
      </c>
      <c r="E47" s="17" t="s">
        <v>18</v>
      </c>
      <c r="F47" s="17">
        <v>15000</v>
      </c>
      <c r="G47" s="18"/>
      <c r="H47" s="19">
        <f t="shared" si="0"/>
        <v>15000</v>
      </c>
      <c r="J47" s="35" t="s">
        <v>586</v>
      </c>
      <c r="K47" s="26" t="s">
        <v>132</v>
      </c>
      <c r="L47" s="31" t="s">
        <v>574</v>
      </c>
      <c r="M47" s="48" t="s">
        <v>188</v>
      </c>
      <c r="O47" s="25" t="s">
        <v>189</v>
      </c>
    </row>
    <row r="48" spans="1:15" x14ac:dyDescent="0.25">
      <c r="A48" s="63">
        <v>41</v>
      </c>
      <c r="B48" s="27" t="s">
        <v>190</v>
      </c>
      <c r="C48" s="33" t="s">
        <v>633</v>
      </c>
      <c r="E48" s="17" t="s">
        <v>18</v>
      </c>
      <c r="F48" s="17">
        <v>8000</v>
      </c>
      <c r="G48" s="18"/>
      <c r="H48" s="19">
        <f t="shared" si="0"/>
        <v>8000</v>
      </c>
      <c r="J48" s="83" t="s">
        <v>589</v>
      </c>
      <c r="K48" s="82" t="s">
        <v>191</v>
      </c>
      <c r="L48" s="81" t="s">
        <v>192</v>
      </c>
      <c r="M48" s="84" t="s">
        <v>193</v>
      </c>
      <c r="O48" s="29" t="s">
        <v>194</v>
      </c>
    </row>
    <row r="49" spans="1:15" hidden="1" x14ac:dyDescent="0.25">
      <c r="A49" s="63">
        <v>42</v>
      </c>
      <c r="B49" s="27" t="s">
        <v>195</v>
      </c>
      <c r="C49" s="33" t="s">
        <v>634</v>
      </c>
      <c r="E49" s="17" t="s">
        <v>30</v>
      </c>
      <c r="F49" s="17">
        <v>8000</v>
      </c>
      <c r="G49" s="18"/>
      <c r="H49" s="19">
        <f t="shared" si="0"/>
        <v>8000</v>
      </c>
      <c r="J49" s="25" t="s">
        <v>589</v>
      </c>
      <c r="K49" s="26" t="s">
        <v>15</v>
      </c>
      <c r="L49" s="27" t="s">
        <v>196</v>
      </c>
      <c r="M49" s="48" t="s">
        <v>197</v>
      </c>
      <c r="O49" s="29" t="s">
        <v>198</v>
      </c>
    </row>
    <row r="50" spans="1:15" hidden="1" x14ac:dyDescent="0.25">
      <c r="A50" s="28">
        <v>43</v>
      </c>
      <c r="B50" s="27" t="s">
        <v>199</v>
      </c>
      <c r="C50" s="26" t="s">
        <v>635</v>
      </c>
      <c r="E50" s="30" t="s">
        <v>30</v>
      </c>
      <c r="F50" s="30">
        <v>12500</v>
      </c>
      <c r="G50" s="19"/>
      <c r="H50" s="19">
        <f t="shared" si="0"/>
        <v>12500</v>
      </c>
      <c r="J50" s="29" t="s">
        <v>412</v>
      </c>
      <c r="K50" s="26" t="s">
        <v>200</v>
      </c>
      <c r="L50" s="27" t="s">
        <v>156</v>
      </c>
      <c r="M50" s="49" t="s">
        <v>201</v>
      </c>
      <c r="O50" s="29" t="s">
        <v>202</v>
      </c>
    </row>
    <row r="51" spans="1:15" ht="31.5" x14ac:dyDescent="0.25">
      <c r="A51" s="63">
        <v>44</v>
      </c>
      <c r="B51" s="27" t="s">
        <v>203</v>
      </c>
      <c r="C51" s="33" t="s">
        <v>636</v>
      </c>
      <c r="E51" s="17" t="s">
        <v>18</v>
      </c>
      <c r="F51" s="17">
        <v>8000</v>
      </c>
      <c r="G51" s="18"/>
      <c r="H51" s="19">
        <f t="shared" si="0"/>
        <v>8000</v>
      </c>
      <c r="J51" s="25" t="s">
        <v>407</v>
      </c>
      <c r="K51" s="26" t="s">
        <v>204</v>
      </c>
      <c r="L51" s="27" t="s">
        <v>205</v>
      </c>
      <c r="M51" s="48" t="s">
        <v>206</v>
      </c>
      <c r="O51" s="29" t="s">
        <v>207</v>
      </c>
    </row>
    <row r="52" spans="1:15" x14ac:dyDescent="0.25">
      <c r="A52" s="63">
        <v>45</v>
      </c>
      <c r="B52" s="27" t="s">
        <v>208</v>
      </c>
      <c r="C52" s="33" t="s">
        <v>637</v>
      </c>
      <c r="E52" s="17" t="s">
        <v>18</v>
      </c>
      <c r="F52" s="17">
        <v>15000</v>
      </c>
      <c r="G52" s="18"/>
      <c r="H52" s="19">
        <f t="shared" si="0"/>
        <v>15000</v>
      </c>
      <c r="J52" s="25" t="s">
        <v>588</v>
      </c>
      <c r="K52" s="26" t="s">
        <v>178</v>
      </c>
      <c r="L52" s="27" t="s">
        <v>179</v>
      </c>
      <c r="M52" s="48" t="s">
        <v>209</v>
      </c>
      <c r="O52" s="29" t="s">
        <v>210</v>
      </c>
    </row>
    <row r="53" spans="1:15" x14ac:dyDescent="0.25">
      <c r="A53" s="63">
        <v>46</v>
      </c>
      <c r="B53" s="31" t="s">
        <v>211</v>
      </c>
      <c r="C53" s="26" t="s">
        <v>638</v>
      </c>
      <c r="E53" s="30" t="s">
        <v>18</v>
      </c>
      <c r="F53" s="30">
        <v>8000</v>
      </c>
      <c r="G53" s="19">
        <f>+F53*10%</f>
        <v>800</v>
      </c>
      <c r="H53" s="19">
        <f t="shared" si="0"/>
        <v>7200</v>
      </c>
      <c r="J53" s="29" t="s">
        <v>747</v>
      </c>
      <c r="K53" s="26" t="s">
        <v>212</v>
      </c>
      <c r="L53" s="27" t="s">
        <v>748</v>
      </c>
      <c r="M53" s="49" t="s">
        <v>749</v>
      </c>
      <c r="O53" s="29" t="s">
        <v>213</v>
      </c>
    </row>
    <row r="54" spans="1:15" ht="31.5" x14ac:dyDescent="0.25">
      <c r="A54" s="28">
        <v>47</v>
      </c>
      <c r="B54" s="27" t="s">
        <v>214</v>
      </c>
      <c r="C54" s="33" t="s">
        <v>639</v>
      </c>
      <c r="E54" s="17" t="s">
        <v>18</v>
      </c>
      <c r="F54" s="17">
        <v>8000</v>
      </c>
      <c r="G54" s="18"/>
      <c r="H54" s="19">
        <f t="shared" si="0"/>
        <v>8000</v>
      </c>
      <c r="J54" s="25" t="s">
        <v>588</v>
      </c>
      <c r="K54" s="26" t="s">
        <v>215</v>
      </c>
      <c r="L54" s="27" t="s">
        <v>216</v>
      </c>
      <c r="M54" s="48" t="s">
        <v>217</v>
      </c>
      <c r="O54" s="29" t="s">
        <v>218</v>
      </c>
    </row>
    <row r="55" spans="1:15" x14ac:dyDescent="0.25">
      <c r="A55" s="63">
        <v>48</v>
      </c>
      <c r="B55" s="27" t="s">
        <v>219</v>
      </c>
      <c r="C55" s="33" t="s">
        <v>640</v>
      </c>
      <c r="E55" s="17" t="s">
        <v>18</v>
      </c>
      <c r="F55" s="17">
        <v>8000</v>
      </c>
      <c r="G55" s="18">
        <f>+F55*10%</f>
        <v>800</v>
      </c>
      <c r="H55" s="19">
        <f t="shared" si="0"/>
        <v>7200</v>
      </c>
      <c r="J55" s="25" t="s">
        <v>21</v>
      </c>
      <c r="K55" s="26" t="s">
        <v>22</v>
      </c>
      <c r="L55" s="27" t="s">
        <v>23</v>
      </c>
      <c r="M55" s="48" t="s">
        <v>24</v>
      </c>
      <c r="O55" s="29" t="s">
        <v>220</v>
      </c>
    </row>
    <row r="56" spans="1:15" x14ac:dyDescent="0.25">
      <c r="A56" s="63">
        <v>49</v>
      </c>
      <c r="B56" s="27" t="s">
        <v>221</v>
      </c>
      <c r="C56" s="33" t="s">
        <v>641</v>
      </c>
      <c r="E56" s="17" t="s">
        <v>18</v>
      </c>
      <c r="F56" s="17">
        <v>15000</v>
      </c>
      <c r="G56" s="18"/>
      <c r="H56" s="19">
        <f t="shared" si="0"/>
        <v>15000</v>
      </c>
      <c r="J56" s="25" t="s">
        <v>430</v>
      </c>
      <c r="K56" s="26" t="s">
        <v>222</v>
      </c>
      <c r="L56" s="27" t="s">
        <v>223</v>
      </c>
      <c r="M56" s="48" t="s">
        <v>224</v>
      </c>
      <c r="O56" s="29" t="s">
        <v>225</v>
      </c>
    </row>
    <row r="57" spans="1:15" x14ac:dyDescent="0.25">
      <c r="A57" s="63">
        <v>50</v>
      </c>
      <c r="B57" s="31" t="s">
        <v>226</v>
      </c>
      <c r="C57" s="33" t="s">
        <v>227</v>
      </c>
      <c r="E57" s="30" t="s">
        <v>18</v>
      </c>
      <c r="F57" s="30">
        <v>11000</v>
      </c>
      <c r="G57" s="19">
        <f>+F57*10%</f>
        <v>1100</v>
      </c>
      <c r="H57" s="19">
        <f t="shared" si="0"/>
        <v>9900</v>
      </c>
      <c r="J57" s="29" t="s">
        <v>407</v>
      </c>
      <c r="K57" s="26" t="s">
        <v>228</v>
      </c>
      <c r="L57" s="27" t="s">
        <v>292</v>
      </c>
      <c r="M57" s="49" t="s">
        <v>229</v>
      </c>
      <c r="O57" s="29" t="s">
        <v>230</v>
      </c>
    </row>
    <row r="58" spans="1:15" x14ac:dyDescent="0.25">
      <c r="A58" s="28">
        <v>51</v>
      </c>
      <c r="B58" s="31" t="s">
        <v>722</v>
      </c>
      <c r="C58" s="33" t="s">
        <v>723</v>
      </c>
      <c r="E58" s="30" t="s">
        <v>18</v>
      </c>
      <c r="F58" s="30">
        <v>30000</v>
      </c>
      <c r="G58" s="19">
        <f>+F58*10%</f>
        <v>3000</v>
      </c>
      <c r="H58" s="19">
        <f t="shared" si="0"/>
        <v>27000</v>
      </c>
      <c r="J58" s="29" t="s">
        <v>724</v>
      </c>
      <c r="K58" s="26" t="s">
        <v>725</v>
      </c>
      <c r="L58" s="27" t="s">
        <v>726</v>
      </c>
      <c r="M58" s="49" t="s">
        <v>727</v>
      </c>
      <c r="O58" s="29" t="s">
        <v>751</v>
      </c>
    </row>
    <row r="59" spans="1:15" x14ac:dyDescent="0.25">
      <c r="A59" s="63">
        <v>52</v>
      </c>
      <c r="B59" s="27" t="s">
        <v>231</v>
      </c>
      <c r="C59" s="33" t="s">
        <v>642</v>
      </c>
      <c r="E59" s="17" t="s">
        <v>18</v>
      </c>
      <c r="F59" s="17">
        <v>8000</v>
      </c>
      <c r="G59" s="18"/>
      <c r="H59" s="19">
        <f t="shared" si="0"/>
        <v>8000</v>
      </c>
      <c r="J59" s="25" t="s">
        <v>430</v>
      </c>
      <c r="K59" s="26" t="s">
        <v>232</v>
      </c>
      <c r="L59" s="27" t="s">
        <v>233</v>
      </c>
      <c r="M59" s="48" t="s">
        <v>234</v>
      </c>
      <c r="O59" s="29" t="s">
        <v>235</v>
      </c>
    </row>
    <row r="60" spans="1:15" ht="31.5" x14ac:dyDescent="0.25">
      <c r="A60" s="63">
        <v>53</v>
      </c>
      <c r="B60" s="31" t="s">
        <v>236</v>
      </c>
      <c r="C60" s="34" t="s">
        <v>643</v>
      </c>
      <c r="E60" s="17" t="s">
        <v>18</v>
      </c>
      <c r="F60" s="17">
        <v>8000</v>
      </c>
      <c r="G60" s="18"/>
      <c r="H60" s="19">
        <f t="shared" si="0"/>
        <v>8000</v>
      </c>
      <c r="J60" s="25" t="s">
        <v>588</v>
      </c>
      <c r="K60" s="26" t="s">
        <v>237</v>
      </c>
      <c r="L60" s="27" t="s">
        <v>238</v>
      </c>
      <c r="M60" s="48" t="s">
        <v>239</v>
      </c>
      <c r="O60" s="35" t="s">
        <v>240</v>
      </c>
    </row>
    <row r="61" spans="1:15" x14ac:dyDescent="0.25">
      <c r="A61" s="63">
        <v>54</v>
      </c>
      <c r="B61" s="27" t="s">
        <v>241</v>
      </c>
      <c r="C61" s="33" t="s">
        <v>632</v>
      </c>
      <c r="E61" s="17" t="s">
        <v>18</v>
      </c>
      <c r="F61" s="17">
        <v>14250</v>
      </c>
      <c r="G61" s="18">
        <f>+F61*10%</f>
        <v>1425</v>
      </c>
      <c r="H61" s="19">
        <f t="shared" si="0"/>
        <v>12825</v>
      </c>
      <c r="J61" s="25" t="s">
        <v>412</v>
      </c>
      <c r="K61" s="26" t="s">
        <v>183</v>
      </c>
      <c r="L61" s="27" t="s">
        <v>184</v>
      </c>
      <c r="M61" s="48" t="s">
        <v>185</v>
      </c>
      <c r="O61" s="25" t="s">
        <v>186</v>
      </c>
    </row>
    <row r="62" spans="1:15" ht="31.5" x14ac:dyDescent="0.25">
      <c r="A62" s="28">
        <v>55</v>
      </c>
      <c r="B62" s="27" t="s">
        <v>242</v>
      </c>
      <c r="C62" s="33" t="s">
        <v>644</v>
      </c>
      <c r="E62" s="17" t="s">
        <v>18</v>
      </c>
      <c r="F62" s="17">
        <v>8000</v>
      </c>
      <c r="G62" s="18"/>
      <c r="H62" s="19">
        <f t="shared" si="0"/>
        <v>8000</v>
      </c>
      <c r="J62" s="25" t="s">
        <v>412</v>
      </c>
      <c r="K62" s="26" t="s">
        <v>127</v>
      </c>
      <c r="L62" s="27" t="s">
        <v>243</v>
      </c>
      <c r="M62" s="48" t="s">
        <v>244</v>
      </c>
      <c r="O62" s="25" t="s">
        <v>245</v>
      </c>
    </row>
    <row r="63" spans="1:15" x14ac:dyDescent="0.25">
      <c r="A63" s="63">
        <v>56</v>
      </c>
      <c r="B63" s="27" t="s">
        <v>246</v>
      </c>
      <c r="C63" s="33" t="s">
        <v>645</v>
      </c>
      <c r="E63" s="17" t="s">
        <v>18</v>
      </c>
      <c r="F63" s="17">
        <v>11000</v>
      </c>
      <c r="G63" s="18"/>
      <c r="H63" s="19">
        <f t="shared" si="0"/>
        <v>11000</v>
      </c>
      <c r="J63" s="25" t="s">
        <v>588</v>
      </c>
      <c r="K63" s="26" t="s">
        <v>247</v>
      </c>
      <c r="L63" s="27" t="s">
        <v>248</v>
      </c>
      <c r="M63" s="48" t="s">
        <v>249</v>
      </c>
      <c r="O63" s="29" t="s">
        <v>250</v>
      </c>
    </row>
    <row r="64" spans="1:15" x14ac:dyDescent="0.25">
      <c r="A64" s="63">
        <v>57</v>
      </c>
      <c r="B64" s="27" t="s">
        <v>251</v>
      </c>
      <c r="C64" s="33" t="s">
        <v>646</v>
      </c>
      <c r="E64" s="17" t="s">
        <v>18</v>
      </c>
      <c r="F64" s="17">
        <v>11000</v>
      </c>
      <c r="G64" s="18"/>
      <c r="H64" s="19">
        <f t="shared" si="0"/>
        <v>11000</v>
      </c>
      <c r="J64" s="25" t="s">
        <v>591</v>
      </c>
      <c r="K64" s="26" t="s">
        <v>252</v>
      </c>
      <c r="L64" s="27" t="s">
        <v>253</v>
      </c>
      <c r="M64" s="48" t="s">
        <v>254</v>
      </c>
      <c r="O64" s="29" t="s">
        <v>255</v>
      </c>
    </row>
    <row r="65" spans="1:15" x14ac:dyDescent="0.25">
      <c r="A65" s="63">
        <v>58</v>
      </c>
      <c r="B65" s="27" t="s">
        <v>256</v>
      </c>
      <c r="C65" s="33" t="s">
        <v>647</v>
      </c>
      <c r="E65" s="17" t="s">
        <v>18</v>
      </c>
      <c r="F65" s="17">
        <v>8000</v>
      </c>
      <c r="G65" s="18"/>
      <c r="H65" s="19">
        <f t="shared" si="0"/>
        <v>8000</v>
      </c>
      <c r="J65" s="25" t="s">
        <v>407</v>
      </c>
      <c r="K65" s="26" t="s">
        <v>257</v>
      </c>
      <c r="L65" s="27" t="s">
        <v>258</v>
      </c>
      <c r="M65" s="48" t="s">
        <v>259</v>
      </c>
      <c r="O65" s="29" t="s">
        <v>260</v>
      </c>
    </row>
    <row r="66" spans="1:15" ht="31.5" x14ac:dyDescent="0.25">
      <c r="A66" s="28">
        <v>59</v>
      </c>
      <c r="B66" s="27" t="s">
        <v>261</v>
      </c>
      <c r="C66" s="33" t="s">
        <v>648</v>
      </c>
      <c r="E66" s="17" t="s">
        <v>18</v>
      </c>
      <c r="F66" s="17">
        <v>8000</v>
      </c>
      <c r="G66" s="18"/>
      <c r="H66" s="19">
        <f t="shared" si="0"/>
        <v>8000</v>
      </c>
      <c r="J66" s="25" t="s">
        <v>407</v>
      </c>
      <c r="K66" s="26" t="s">
        <v>262</v>
      </c>
      <c r="L66" s="27" t="s">
        <v>263</v>
      </c>
      <c r="M66" s="48" t="s">
        <v>264</v>
      </c>
      <c r="O66" s="29" t="s">
        <v>265</v>
      </c>
    </row>
    <row r="67" spans="1:15" x14ac:dyDescent="0.25">
      <c r="A67" s="63">
        <v>60</v>
      </c>
      <c r="B67" s="77" t="s">
        <v>266</v>
      </c>
      <c r="C67" s="73" t="s">
        <v>267</v>
      </c>
      <c r="E67" s="30" t="s">
        <v>18</v>
      </c>
      <c r="F67" s="30">
        <v>4000</v>
      </c>
      <c r="G67" s="19"/>
      <c r="H67" s="19">
        <f t="shared" si="0"/>
        <v>4000</v>
      </c>
      <c r="J67" s="25" t="s">
        <v>21</v>
      </c>
      <c r="K67" s="26" t="s">
        <v>268</v>
      </c>
      <c r="L67" s="27" t="s">
        <v>269</v>
      </c>
      <c r="M67" s="48" t="s">
        <v>270</v>
      </c>
      <c r="O67" s="25" t="s">
        <v>271</v>
      </c>
    </row>
    <row r="68" spans="1:15" x14ac:dyDescent="0.25">
      <c r="A68" s="63">
        <v>61</v>
      </c>
      <c r="B68" s="77" t="s">
        <v>266</v>
      </c>
      <c r="C68" s="73" t="s">
        <v>272</v>
      </c>
      <c r="E68" s="30" t="s">
        <v>18</v>
      </c>
      <c r="F68" s="30">
        <v>4000</v>
      </c>
      <c r="G68" s="19"/>
      <c r="H68" s="19">
        <f t="shared" si="0"/>
        <v>4000</v>
      </c>
      <c r="J68" s="25" t="s">
        <v>412</v>
      </c>
      <c r="K68" s="26" t="s">
        <v>268</v>
      </c>
      <c r="L68" s="27" t="s">
        <v>273</v>
      </c>
      <c r="M68" s="48" t="s">
        <v>274</v>
      </c>
      <c r="O68" s="25" t="s">
        <v>275</v>
      </c>
    </row>
    <row r="69" spans="1:15" x14ac:dyDescent="0.25">
      <c r="A69" s="63">
        <v>62</v>
      </c>
      <c r="B69" s="27" t="s">
        <v>276</v>
      </c>
      <c r="C69" s="33" t="s">
        <v>649</v>
      </c>
      <c r="E69" s="30" t="s">
        <v>18</v>
      </c>
      <c r="F69" s="30">
        <v>8000</v>
      </c>
      <c r="G69" s="19"/>
      <c r="H69" s="19">
        <f t="shared" si="0"/>
        <v>8000</v>
      </c>
      <c r="J69" s="25" t="s">
        <v>412</v>
      </c>
      <c r="K69" s="26" t="s">
        <v>277</v>
      </c>
      <c r="L69" s="27" t="s">
        <v>243</v>
      </c>
      <c r="M69" s="48" t="s">
        <v>278</v>
      </c>
      <c r="O69" s="29" t="s">
        <v>279</v>
      </c>
    </row>
    <row r="70" spans="1:15" x14ac:dyDescent="0.25">
      <c r="A70" s="28">
        <v>63</v>
      </c>
      <c r="B70" s="27" t="s">
        <v>280</v>
      </c>
      <c r="C70" s="26" t="s">
        <v>650</v>
      </c>
      <c r="E70" s="30" t="s">
        <v>18</v>
      </c>
      <c r="F70" s="30">
        <v>8000</v>
      </c>
      <c r="G70" s="18">
        <f>+F70*10%</f>
        <v>800</v>
      </c>
      <c r="H70" s="19">
        <f t="shared" si="0"/>
        <v>7200</v>
      </c>
      <c r="J70" s="29" t="s">
        <v>590</v>
      </c>
      <c r="K70" s="26" t="s">
        <v>281</v>
      </c>
      <c r="L70" s="27" t="s">
        <v>282</v>
      </c>
      <c r="M70" s="49" t="s">
        <v>283</v>
      </c>
      <c r="O70" s="29" t="s">
        <v>284</v>
      </c>
    </row>
    <row r="71" spans="1:15" ht="31.5" x14ac:dyDescent="0.25">
      <c r="A71" s="63">
        <v>64</v>
      </c>
      <c r="B71" s="27" t="s">
        <v>285</v>
      </c>
      <c r="C71" s="26" t="s">
        <v>651</v>
      </c>
      <c r="E71" s="30" t="s">
        <v>18</v>
      </c>
      <c r="F71" s="30">
        <v>11000</v>
      </c>
      <c r="G71" s="19"/>
      <c r="H71" s="19">
        <f t="shared" si="0"/>
        <v>11000</v>
      </c>
      <c r="J71" s="29" t="s">
        <v>587</v>
      </c>
      <c r="K71" s="26" t="s">
        <v>286</v>
      </c>
      <c r="L71" s="27" t="s">
        <v>287</v>
      </c>
      <c r="M71" s="49" t="s">
        <v>288</v>
      </c>
      <c r="O71" s="29" t="s">
        <v>289</v>
      </c>
    </row>
    <row r="72" spans="1:15" x14ac:dyDescent="0.25">
      <c r="A72" s="63">
        <v>65</v>
      </c>
      <c r="B72" s="27" t="s">
        <v>290</v>
      </c>
      <c r="C72" s="26" t="s">
        <v>652</v>
      </c>
      <c r="E72" s="30" t="s">
        <v>18</v>
      </c>
      <c r="F72" s="30">
        <v>11000</v>
      </c>
      <c r="G72" s="19"/>
      <c r="H72" s="19">
        <f t="shared" si="0"/>
        <v>11000</v>
      </c>
      <c r="J72" s="29" t="s">
        <v>407</v>
      </c>
      <c r="K72" s="26" t="s">
        <v>291</v>
      </c>
      <c r="L72" s="27" t="s">
        <v>292</v>
      </c>
      <c r="M72" s="49" t="s">
        <v>293</v>
      </c>
      <c r="O72" s="29" t="s">
        <v>294</v>
      </c>
    </row>
    <row r="73" spans="1:15" x14ac:dyDescent="0.25">
      <c r="A73" s="63">
        <v>66</v>
      </c>
      <c r="B73" s="31" t="s">
        <v>295</v>
      </c>
      <c r="C73" s="26" t="s">
        <v>653</v>
      </c>
      <c r="E73" s="30" t="s">
        <v>18</v>
      </c>
      <c r="F73" s="30">
        <v>8000</v>
      </c>
      <c r="G73" s="19"/>
      <c r="H73" s="19">
        <f t="shared" si="0"/>
        <v>8000</v>
      </c>
      <c r="J73" s="29" t="s">
        <v>407</v>
      </c>
      <c r="K73" s="26" t="s">
        <v>117</v>
      </c>
      <c r="L73" s="27" t="s">
        <v>581</v>
      </c>
      <c r="M73" s="49" t="s">
        <v>296</v>
      </c>
      <c r="O73" s="29" t="s">
        <v>297</v>
      </c>
    </row>
    <row r="74" spans="1:15" s="54" customFormat="1" x14ac:dyDescent="0.25">
      <c r="A74" s="28">
        <v>67</v>
      </c>
      <c r="B74" s="31" t="s">
        <v>298</v>
      </c>
      <c r="C74" s="46" t="s">
        <v>654</v>
      </c>
      <c r="E74" s="55" t="s">
        <v>18</v>
      </c>
      <c r="F74" s="30">
        <v>11000</v>
      </c>
      <c r="G74" s="19"/>
      <c r="H74" s="19">
        <f t="shared" si="0"/>
        <v>11000</v>
      </c>
      <c r="J74" s="32" t="s">
        <v>412</v>
      </c>
      <c r="K74" s="26" t="s">
        <v>291</v>
      </c>
      <c r="L74" s="31" t="s">
        <v>299</v>
      </c>
      <c r="M74" s="56" t="s">
        <v>300</v>
      </c>
      <c r="O74" s="32" t="s">
        <v>301</v>
      </c>
    </row>
    <row r="75" spans="1:15" ht="31.5" x14ac:dyDescent="0.25">
      <c r="A75" s="63">
        <v>68</v>
      </c>
      <c r="B75" s="64" t="s">
        <v>302</v>
      </c>
      <c r="C75" s="65" t="s">
        <v>655</v>
      </c>
      <c r="D75" s="66"/>
      <c r="E75" s="67" t="s">
        <v>18</v>
      </c>
      <c r="F75" s="67">
        <v>11000</v>
      </c>
      <c r="G75" s="68">
        <f>+F75*10%</f>
        <v>1100</v>
      </c>
      <c r="H75" s="68">
        <f t="shared" si="0"/>
        <v>9900</v>
      </c>
      <c r="I75" s="66"/>
      <c r="J75" s="69" t="s">
        <v>588</v>
      </c>
      <c r="K75" s="70" t="s">
        <v>215</v>
      </c>
      <c r="L75" s="64" t="s">
        <v>216</v>
      </c>
      <c r="M75" s="71" t="s">
        <v>303</v>
      </c>
      <c r="N75" s="66"/>
      <c r="O75" s="72" t="s">
        <v>304</v>
      </c>
    </row>
    <row r="76" spans="1:15" hidden="1" x14ac:dyDescent="0.25">
      <c r="A76" s="63">
        <v>69</v>
      </c>
      <c r="B76" s="27" t="s">
        <v>305</v>
      </c>
      <c r="C76" s="33" t="s">
        <v>656</v>
      </c>
      <c r="E76" s="30" t="s">
        <v>30</v>
      </c>
      <c r="F76" s="30">
        <v>8000</v>
      </c>
      <c r="G76" s="18">
        <f>+F76*10%</f>
        <v>800</v>
      </c>
      <c r="H76" s="19">
        <f t="shared" ref="H76:H139" si="1">+F76-G76</f>
        <v>7200</v>
      </c>
      <c r="J76" s="25" t="s">
        <v>587</v>
      </c>
      <c r="K76" s="26" t="s">
        <v>160</v>
      </c>
      <c r="L76" s="27" t="s">
        <v>306</v>
      </c>
      <c r="M76" s="48" t="s">
        <v>307</v>
      </c>
      <c r="O76" s="29" t="s">
        <v>308</v>
      </c>
    </row>
    <row r="77" spans="1:15" ht="31.5" x14ac:dyDescent="0.25">
      <c r="A77" s="63">
        <v>70</v>
      </c>
      <c r="B77" s="27" t="s">
        <v>309</v>
      </c>
      <c r="C77" s="33" t="s">
        <v>657</v>
      </c>
      <c r="E77" s="30" t="s">
        <v>18</v>
      </c>
      <c r="F77" s="30">
        <v>8000</v>
      </c>
      <c r="G77" s="19"/>
      <c r="H77" s="19">
        <f t="shared" si="1"/>
        <v>8000</v>
      </c>
      <c r="J77" s="25" t="s">
        <v>592</v>
      </c>
      <c r="K77" s="26" t="s">
        <v>310</v>
      </c>
      <c r="L77" s="27" t="s">
        <v>311</v>
      </c>
      <c r="M77" s="48">
        <v>1075835628</v>
      </c>
      <c r="O77" s="29" t="s">
        <v>312</v>
      </c>
    </row>
    <row r="78" spans="1:15" ht="31.5" x14ac:dyDescent="0.25">
      <c r="A78" s="28">
        <v>71</v>
      </c>
      <c r="B78" s="27" t="s">
        <v>313</v>
      </c>
      <c r="C78" s="26" t="s">
        <v>584</v>
      </c>
      <c r="E78" s="30" t="s">
        <v>18</v>
      </c>
      <c r="F78" s="30">
        <v>11000</v>
      </c>
      <c r="G78" s="19"/>
      <c r="H78" s="19">
        <f t="shared" si="1"/>
        <v>11000</v>
      </c>
      <c r="J78" s="29" t="s">
        <v>430</v>
      </c>
      <c r="K78" s="26" t="s">
        <v>228</v>
      </c>
      <c r="L78" s="27" t="s">
        <v>431</v>
      </c>
      <c r="M78" s="49" t="s">
        <v>745</v>
      </c>
      <c r="O78" s="29" t="s">
        <v>746</v>
      </c>
    </row>
    <row r="79" spans="1:15" ht="31.5" x14ac:dyDescent="0.25">
      <c r="A79" s="63">
        <v>72</v>
      </c>
      <c r="B79" s="27" t="s">
        <v>314</v>
      </c>
      <c r="C79" s="33" t="s">
        <v>658</v>
      </c>
      <c r="E79" s="30" t="s">
        <v>18</v>
      </c>
      <c r="F79" s="30">
        <v>10750</v>
      </c>
      <c r="G79" s="19"/>
      <c r="H79" s="19">
        <f t="shared" si="1"/>
        <v>10750</v>
      </c>
      <c r="J79" s="25" t="s">
        <v>593</v>
      </c>
      <c r="K79" s="26" t="s">
        <v>315</v>
      </c>
      <c r="L79" s="27" t="s">
        <v>316</v>
      </c>
      <c r="M79" s="48" t="s">
        <v>317</v>
      </c>
      <c r="O79" s="29" t="s">
        <v>318</v>
      </c>
    </row>
    <row r="80" spans="1:15" x14ac:dyDescent="0.25">
      <c r="A80" s="63">
        <v>73</v>
      </c>
      <c r="B80" s="27" t="s">
        <v>319</v>
      </c>
      <c r="C80" s="33" t="s">
        <v>659</v>
      </c>
      <c r="E80" s="30" t="s">
        <v>18</v>
      </c>
      <c r="F80" s="30">
        <v>8000</v>
      </c>
      <c r="G80" s="19"/>
      <c r="H80" s="19">
        <f t="shared" si="1"/>
        <v>8000</v>
      </c>
      <c r="J80" s="25" t="s">
        <v>407</v>
      </c>
      <c r="K80" s="26" t="s">
        <v>127</v>
      </c>
      <c r="L80" s="27" t="s">
        <v>205</v>
      </c>
      <c r="M80" s="48" t="s">
        <v>320</v>
      </c>
      <c r="O80" s="29" t="s">
        <v>321</v>
      </c>
    </row>
    <row r="81" spans="1:15" x14ac:dyDescent="0.25">
      <c r="A81" s="63">
        <v>74</v>
      </c>
      <c r="B81" s="27" t="s">
        <v>322</v>
      </c>
      <c r="C81" s="33" t="s">
        <v>660</v>
      </c>
      <c r="E81" s="30" t="s">
        <v>18</v>
      </c>
      <c r="F81" s="30">
        <v>8000</v>
      </c>
      <c r="G81" s="19"/>
      <c r="H81" s="19">
        <f t="shared" si="1"/>
        <v>8000</v>
      </c>
      <c r="J81" s="25" t="s">
        <v>21</v>
      </c>
      <c r="K81" s="26" t="s">
        <v>323</v>
      </c>
      <c r="L81" s="27" t="s">
        <v>114</v>
      </c>
      <c r="M81" s="48">
        <v>32261305101</v>
      </c>
      <c r="O81" s="29" t="s">
        <v>324</v>
      </c>
    </row>
    <row r="82" spans="1:15" ht="31.5" hidden="1" x14ac:dyDescent="0.25">
      <c r="A82" s="28">
        <v>75</v>
      </c>
      <c r="B82" s="27" t="s">
        <v>325</v>
      </c>
      <c r="C82" s="34" t="s">
        <v>717</v>
      </c>
      <c r="E82" s="30" t="s">
        <v>30</v>
      </c>
      <c r="F82" s="30">
        <v>8000</v>
      </c>
      <c r="G82" s="19"/>
      <c r="H82" s="19">
        <f t="shared" si="1"/>
        <v>8000</v>
      </c>
      <c r="J82" s="25" t="s">
        <v>21</v>
      </c>
      <c r="K82" s="26" t="s">
        <v>326</v>
      </c>
      <c r="L82" s="27" t="s">
        <v>327</v>
      </c>
      <c r="M82" s="48" t="s">
        <v>328</v>
      </c>
      <c r="O82" s="25" t="s">
        <v>329</v>
      </c>
    </row>
    <row r="83" spans="1:15" hidden="1" x14ac:dyDescent="0.25">
      <c r="A83" s="63">
        <v>76</v>
      </c>
      <c r="B83" s="27" t="s">
        <v>330</v>
      </c>
      <c r="C83" s="33" t="s">
        <v>661</v>
      </c>
      <c r="E83" s="30" t="s">
        <v>30</v>
      </c>
      <c r="F83" s="30">
        <v>12500</v>
      </c>
      <c r="G83" s="19"/>
      <c r="H83" s="19">
        <f t="shared" si="1"/>
        <v>12500</v>
      </c>
      <c r="J83" s="25" t="s">
        <v>21</v>
      </c>
      <c r="K83" s="26" t="s">
        <v>291</v>
      </c>
      <c r="L83" s="27" t="s">
        <v>331</v>
      </c>
      <c r="M83" s="48">
        <v>20305694641</v>
      </c>
      <c r="O83" s="29" t="s">
        <v>332</v>
      </c>
    </row>
    <row r="84" spans="1:15" x14ac:dyDescent="0.25">
      <c r="A84" s="63">
        <v>77</v>
      </c>
      <c r="B84" s="27" t="s">
        <v>333</v>
      </c>
      <c r="C84" s="33" t="s">
        <v>662</v>
      </c>
      <c r="E84" s="30" t="s">
        <v>18</v>
      </c>
      <c r="F84" s="30">
        <v>8000</v>
      </c>
      <c r="G84" s="19"/>
      <c r="H84" s="19">
        <f t="shared" si="1"/>
        <v>8000</v>
      </c>
      <c r="J84" s="25" t="s">
        <v>586</v>
      </c>
      <c r="K84" s="26" t="s">
        <v>334</v>
      </c>
      <c r="L84" s="27" t="s">
        <v>575</v>
      </c>
      <c r="M84" s="48" t="s">
        <v>335</v>
      </c>
      <c r="O84" s="29" t="s">
        <v>336</v>
      </c>
    </row>
    <row r="85" spans="1:15" ht="31.5" hidden="1" x14ac:dyDescent="0.25">
      <c r="A85" s="63">
        <v>78</v>
      </c>
      <c r="B85" s="27" t="s">
        <v>337</v>
      </c>
      <c r="C85" s="34" t="s">
        <v>718</v>
      </c>
      <c r="E85" s="30" t="s">
        <v>30</v>
      </c>
      <c r="F85" s="30">
        <v>12500</v>
      </c>
      <c r="G85" s="19"/>
      <c r="H85" s="19">
        <f t="shared" si="1"/>
        <v>12500</v>
      </c>
      <c r="J85" s="25" t="s">
        <v>588</v>
      </c>
      <c r="K85" s="26" t="s">
        <v>338</v>
      </c>
      <c r="L85" s="27" t="s">
        <v>238</v>
      </c>
      <c r="M85" s="48" t="s">
        <v>339</v>
      </c>
      <c r="O85" s="29" t="s">
        <v>340</v>
      </c>
    </row>
    <row r="86" spans="1:15" x14ac:dyDescent="0.25">
      <c r="A86" s="28">
        <v>79</v>
      </c>
      <c r="B86" s="27" t="s">
        <v>341</v>
      </c>
      <c r="C86" s="26" t="s">
        <v>663</v>
      </c>
      <c r="E86" s="30" t="s">
        <v>18</v>
      </c>
      <c r="F86" s="30">
        <v>8000</v>
      </c>
      <c r="G86" s="19">
        <f>+F86*10%</f>
        <v>800</v>
      </c>
      <c r="H86" s="19">
        <f t="shared" si="1"/>
        <v>7200</v>
      </c>
      <c r="J86" s="29" t="s">
        <v>594</v>
      </c>
      <c r="K86" s="26" t="s">
        <v>165</v>
      </c>
      <c r="L86" s="27" t="s">
        <v>755</v>
      </c>
      <c r="M86" s="49" t="s">
        <v>756</v>
      </c>
      <c r="O86" s="29" t="s">
        <v>342</v>
      </c>
    </row>
    <row r="87" spans="1:15" ht="31.5" x14ac:dyDescent="0.25">
      <c r="A87" s="63">
        <v>80</v>
      </c>
      <c r="B87" s="27" t="s">
        <v>343</v>
      </c>
      <c r="C87" s="33" t="s">
        <v>664</v>
      </c>
      <c r="E87" s="30" t="s">
        <v>18</v>
      </c>
      <c r="F87" s="30">
        <v>10000</v>
      </c>
      <c r="G87" s="19"/>
      <c r="H87" s="19">
        <f t="shared" si="1"/>
        <v>10000</v>
      </c>
      <c r="J87" s="25" t="s">
        <v>21</v>
      </c>
      <c r="K87" s="26" t="s">
        <v>344</v>
      </c>
      <c r="L87" s="27" t="s">
        <v>345</v>
      </c>
      <c r="M87" s="48">
        <v>10137901052</v>
      </c>
      <c r="O87" s="29" t="s">
        <v>346</v>
      </c>
    </row>
    <row r="88" spans="1:15" ht="31.5" x14ac:dyDescent="0.25">
      <c r="A88" s="63">
        <v>81</v>
      </c>
      <c r="B88" s="27" t="s">
        <v>347</v>
      </c>
      <c r="C88" s="33" t="s">
        <v>665</v>
      </c>
      <c r="E88" s="30" t="s">
        <v>18</v>
      </c>
      <c r="F88" s="30">
        <v>8000</v>
      </c>
      <c r="G88" s="19"/>
      <c r="H88" s="19">
        <f t="shared" si="1"/>
        <v>8000</v>
      </c>
      <c r="J88" s="25" t="s">
        <v>412</v>
      </c>
      <c r="K88" s="26" t="s">
        <v>348</v>
      </c>
      <c r="L88" s="27" t="s">
        <v>243</v>
      </c>
      <c r="M88" s="48" t="s">
        <v>349</v>
      </c>
      <c r="O88" s="29" t="s">
        <v>350</v>
      </c>
    </row>
    <row r="89" spans="1:15" x14ac:dyDescent="0.25">
      <c r="A89" s="63">
        <v>82</v>
      </c>
      <c r="B89" s="31" t="s">
        <v>351</v>
      </c>
      <c r="C89" s="26" t="s">
        <v>666</v>
      </c>
      <c r="E89" s="30" t="s">
        <v>18</v>
      </c>
      <c r="F89" s="30">
        <v>8000</v>
      </c>
      <c r="G89" s="19"/>
      <c r="H89" s="19">
        <f t="shared" si="1"/>
        <v>8000</v>
      </c>
      <c r="J89" s="29" t="s">
        <v>585</v>
      </c>
      <c r="K89" s="26" t="s">
        <v>352</v>
      </c>
      <c r="L89" s="27" t="s">
        <v>353</v>
      </c>
      <c r="M89" s="49" t="s">
        <v>354</v>
      </c>
      <c r="O89" s="29" t="s">
        <v>355</v>
      </c>
    </row>
    <row r="90" spans="1:15" x14ac:dyDescent="0.25">
      <c r="A90" s="28">
        <v>83</v>
      </c>
      <c r="B90" s="36" t="s">
        <v>356</v>
      </c>
      <c r="C90" s="73" t="s">
        <v>667</v>
      </c>
      <c r="E90" s="30" t="s">
        <v>18</v>
      </c>
      <c r="F90" s="30">
        <v>5500</v>
      </c>
      <c r="G90" s="19"/>
      <c r="H90" s="19">
        <f t="shared" si="1"/>
        <v>5500</v>
      </c>
      <c r="J90" s="25" t="s">
        <v>590</v>
      </c>
      <c r="K90" s="26" t="s">
        <v>357</v>
      </c>
      <c r="L90" s="27" t="s">
        <v>358</v>
      </c>
      <c r="M90" s="48" t="s">
        <v>359</v>
      </c>
      <c r="O90" s="25" t="s">
        <v>360</v>
      </c>
    </row>
    <row r="91" spans="1:15" x14ac:dyDescent="0.25">
      <c r="A91" s="63">
        <v>84</v>
      </c>
      <c r="B91" s="36" t="s">
        <v>356</v>
      </c>
      <c r="C91" s="73" t="s">
        <v>668</v>
      </c>
      <c r="E91" s="30" t="s">
        <v>18</v>
      </c>
      <c r="F91" s="30">
        <v>5500</v>
      </c>
      <c r="G91" s="19"/>
      <c r="H91" s="19">
        <f t="shared" si="1"/>
        <v>5500</v>
      </c>
      <c r="J91" s="25" t="s">
        <v>590</v>
      </c>
      <c r="K91" s="26" t="s">
        <v>357</v>
      </c>
      <c r="L91" s="27" t="s">
        <v>358</v>
      </c>
      <c r="M91" s="48" t="s">
        <v>361</v>
      </c>
      <c r="O91" s="25" t="s">
        <v>362</v>
      </c>
    </row>
    <row r="92" spans="1:15" ht="31.5" x14ac:dyDescent="0.25">
      <c r="A92" s="63">
        <v>85</v>
      </c>
      <c r="B92" s="27" t="s">
        <v>363</v>
      </c>
      <c r="C92" s="33" t="s">
        <v>669</v>
      </c>
      <c r="E92" s="30" t="s">
        <v>18</v>
      </c>
      <c r="F92" s="30">
        <v>11000</v>
      </c>
      <c r="G92" s="19"/>
      <c r="H92" s="19">
        <f t="shared" si="1"/>
        <v>11000</v>
      </c>
      <c r="J92" s="25" t="s">
        <v>588</v>
      </c>
      <c r="K92" s="26" t="s">
        <v>364</v>
      </c>
      <c r="L92" s="27" t="s">
        <v>238</v>
      </c>
      <c r="M92" s="48" t="s">
        <v>365</v>
      </c>
      <c r="O92" s="25" t="s">
        <v>366</v>
      </c>
    </row>
    <row r="93" spans="1:15" ht="31.5" hidden="1" x14ac:dyDescent="0.25">
      <c r="A93" s="63">
        <v>86</v>
      </c>
      <c r="B93" s="27" t="s">
        <v>367</v>
      </c>
      <c r="C93" s="26" t="s">
        <v>670</v>
      </c>
      <c r="E93" s="30" t="s">
        <v>30</v>
      </c>
      <c r="F93" s="30">
        <v>12500</v>
      </c>
      <c r="G93" s="19"/>
      <c r="H93" s="19">
        <f t="shared" si="1"/>
        <v>12500</v>
      </c>
      <c r="J93" s="29" t="s">
        <v>587</v>
      </c>
      <c r="K93" s="26" t="s">
        <v>368</v>
      </c>
      <c r="L93" s="27" t="s">
        <v>369</v>
      </c>
      <c r="M93" s="49" t="s">
        <v>370</v>
      </c>
      <c r="O93" s="25" t="s">
        <v>371</v>
      </c>
    </row>
    <row r="94" spans="1:15" ht="31.5" x14ac:dyDescent="0.25">
      <c r="A94" s="28">
        <v>87</v>
      </c>
      <c r="B94" s="27" t="s">
        <v>372</v>
      </c>
      <c r="C94" s="34" t="s">
        <v>719</v>
      </c>
      <c r="E94" s="30" t="s">
        <v>18</v>
      </c>
      <c r="F94" s="30">
        <v>15000</v>
      </c>
      <c r="G94" s="19"/>
      <c r="H94" s="19">
        <f t="shared" si="1"/>
        <v>15000</v>
      </c>
      <c r="J94" s="25" t="s">
        <v>585</v>
      </c>
      <c r="K94" s="26" t="s">
        <v>338</v>
      </c>
      <c r="L94" s="27" t="s">
        <v>373</v>
      </c>
      <c r="M94" s="48" t="s">
        <v>374</v>
      </c>
      <c r="O94" s="25" t="s">
        <v>375</v>
      </c>
    </row>
    <row r="95" spans="1:15" ht="31.5" x14ac:dyDescent="0.25">
      <c r="A95" s="63">
        <v>88</v>
      </c>
      <c r="B95" s="27" t="s">
        <v>376</v>
      </c>
      <c r="C95" s="33" t="s">
        <v>671</v>
      </c>
      <c r="E95" s="30" t="s">
        <v>18</v>
      </c>
      <c r="F95" s="30">
        <v>8000</v>
      </c>
      <c r="G95" s="19"/>
      <c r="H95" s="19">
        <f t="shared" si="1"/>
        <v>8000</v>
      </c>
      <c r="J95" s="25" t="s">
        <v>412</v>
      </c>
      <c r="K95" s="26" t="s">
        <v>377</v>
      </c>
      <c r="L95" s="27" t="s">
        <v>378</v>
      </c>
      <c r="M95" s="48" t="s">
        <v>379</v>
      </c>
      <c r="O95" s="29" t="s">
        <v>380</v>
      </c>
    </row>
    <row r="96" spans="1:15" x14ac:dyDescent="0.25">
      <c r="A96" s="63">
        <v>89</v>
      </c>
      <c r="B96" s="27" t="s">
        <v>381</v>
      </c>
      <c r="C96" s="33" t="s">
        <v>672</v>
      </c>
      <c r="E96" s="30" t="s">
        <v>18</v>
      </c>
      <c r="F96" s="30">
        <v>8000</v>
      </c>
      <c r="G96" s="18">
        <f>+F96*10%</f>
        <v>800</v>
      </c>
      <c r="H96" s="19">
        <f t="shared" si="1"/>
        <v>7200</v>
      </c>
      <c r="J96" s="25" t="s">
        <v>587</v>
      </c>
      <c r="K96" s="26" t="s">
        <v>382</v>
      </c>
      <c r="L96" s="27" t="s">
        <v>383</v>
      </c>
      <c r="M96" s="48" t="s">
        <v>384</v>
      </c>
      <c r="O96" s="29" t="s">
        <v>385</v>
      </c>
    </row>
    <row r="97" spans="1:15" x14ac:dyDescent="0.25">
      <c r="A97" s="63">
        <v>90</v>
      </c>
      <c r="B97" s="31" t="s">
        <v>386</v>
      </c>
      <c r="C97" s="33" t="s">
        <v>673</v>
      </c>
      <c r="E97" s="30" t="s">
        <v>18</v>
      </c>
      <c r="F97" s="30">
        <v>8000</v>
      </c>
      <c r="G97" s="18">
        <f>+F97*10%</f>
        <v>800</v>
      </c>
      <c r="H97" s="19">
        <f t="shared" si="1"/>
        <v>7200</v>
      </c>
      <c r="J97" s="25" t="s">
        <v>595</v>
      </c>
      <c r="K97" s="26" t="s">
        <v>387</v>
      </c>
      <c r="L97" s="27" t="s">
        <v>576</v>
      </c>
      <c r="M97" s="48">
        <v>20486243962</v>
      </c>
      <c r="O97" s="29" t="s">
        <v>388</v>
      </c>
    </row>
    <row r="98" spans="1:15" hidden="1" x14ac:dyDescent="0.25">
      <c r="A98" s="28">
        <v>91</v>
      </c>
      <c r="B98" s="27" t="s">
        <v>389</v>
      </c>
      <c r="C98" s="33" t="s">
        <v>674</v>
      </c>
      <c r="E98" s="30" t="s">
        <v>30</v>
      </c>
      <c r="F98" s="30">
        <v>8000</v>
      </c>
      <c r="G98" s="19"/>
      <c r="H98" s="19">
        <f t="shared" si="1"/>
        <v>8000</v>
      </c>
      <c r="J98" s="25" t="s">
        <v>430</v>
      </c>
      <c r="K98" s="26" t="s">
        <v>127</v>
      </c>
      <c r="L98" s="27" t="s">
        <v>390</v>
      </c>
      <c r="M98" s="48" t="s">
        <v>391</v>
      </c>
      <c r="O98" s="29" t="s">
        <v>392</v>
      </c>
    </row>
    <row r="99" spans="1:15" hidden="1" x14ac:dyDescent="0.25">
      <c r="A99" s="63">
        <v>92</v>
      </c>
      <c r="B99" s="27" t="s">
        <v>393</v>
      </c>
      <c r="C99" s="33" t="s">
        <v>675</v>
      </c>
      <c r="E99" s="30" t="s">
        <v>30</v>
      </c>
      <c r="F99" s="30">
        <v>15000</v>
      </c>
      <c r="G99" s="18"/>
      <c r="H99" s="19">
        <f t="shared" si="1"/>
        <v>15000</v>
      </c>
      <c r="J99" s="25" t="s">
        <v>586</v>
      </c>
      <c r="K99" s="26" t="s">
        <v>394</v>
      </c>
      <c r="L99" s="27" t="s">
        <v>582</v>
      </c>
      <c r="M99" s="48" t="s">
        <v>395</v>
      </c>
      <c r="O99" s="29" t="s">
        <v>396</v>
      </c>
    </row>
    <row r="100" spans="1:15" hidden="1" x14ac:dyDescent="0.25">
      <c r="A100" s="63">
        <v>93</v>
      </c>
      <c r="B100" s="27" t="s">
        <v>397</v>
      </c>
      <c r="C100" s="33" t="s">
        <v>676</v>
      </c>
      <c r="E100" s="30" t="s">
        <v>30</v>
      </c>
      <c r="F100" s="30">
        <v>11000</v>
      </c>
      <c r="G100" s="18">
        <f>+F100*10%</f>
        <v>1100</v>
      </c>
      <c r="H100" s="19">
        <f t="shared" si="1"/>
        <v>9900</v>
      </c>
      <c r="J100" s="25" t="s">
        <v>594</v>
      </c>
      <c r="K100" s="26" t="s">
        <v>160</v>
      </c>
      <c r="L100" s="27" t="s">
        <v>398</v>
      </c>
      <c r="M100" s="48" t="s">
        <v>399</v>
      </c>
      <c r="O100" s="29" t="s">
        <v>400</v>
      </c>
    </row>
    <row r="101" spans="1:15" x14ac:dyDescent="0.25">
      <c r="A101" s="63">
        <v>94</v>
      </c>
      <c r="B101" s="27" t="s">
        <v>401</v>
      </c>
      <c r="C101" s="33" t="s">
        <v>677</v>
      </c>
      <c r="E101" s="30" t="s">
        <v>18</v>
      </c>
      <c r="F101" s="30">
        <v>11000</v>
      </c>
      <c r="G101" s="19"/>
      <c r="H101" s="19">
        <f t="shared" si="1"/>
        <v>11000</v>
      </c>
      <c r="J101" s="25" t="s">
        <v>407</v>
      </c>
      <c r="K101" s="26" t="s">
        <v>402</v>
      </c>
      <c r="L101" s="27" t="s">
        <v>403</v>
      </c>
      <c r="M101" s="48" t="s">
        <v>404</v>
      </c>
      <c r="O101" s="29" t="s">
        <v>405</v>
      </c>
    </row>
    <row r="102" spans="1:15" ht="31.5" hidden="1" x14ac:dyDescent="0.25">
      <c r="A102" s="28">
        <v>95</v>
      </c>
      <c r="B102" s="36" t="s">
        <v>406</v>
      </c>
      <c r="C102" s="75" t="s">
        <v>744</v>
      </c>
      <c r="E102" s="30" t="s">
        <v>30</v>
      </c>
      <c r="F102" s="30">
        <v>7700</v>
      </c>
      <c r="G102" s="19"/>
      <c r="H102" s="19">
        <f t="shared" si="1"/>
        <v>7700</v>
      </c>
      <c r="J102" s="25" t="s">
        <v>407</v>
      </c>
      <c r="K102" s="26" t="s">
        <v>408</v>
      </c>
      <c r="L102" s="27" t="s">
        <v>409</v>
      </c>
      <c r="M102" s="48" t="s">
        <v>410</v>
      </c>
      <c r="O102" s="25" t="s">
        <v>411</v>
      </c>
    </row>
    <row r="103" spans="1:15" hidden="1" x14ac:dyDescent="0.25">
      <c r="A103" s="63">
        <v>96</v>
      </c>
      <c r="B103" s="36" t="s">
        <v>406</v>
      </c>
      <c r="C103" s="76" t="s">
        <v>655</v>
      </c>
      <c r="E103" s="30" t="s">
        <v>30</v>
      </c>
      <c r="F103" s="30">
        <v>3300</v>
      </c>
      <c r="G103" s="19"/>
      <c r="H103" s="19">
        <f t="shared" si="1"/>
        <v>3300</v>
      </c>
      <c r="J103" s="25" t="s">
        <v>412</v>
      </c>
      <c r="K103" s="26" t="s">
        <v>413</v>
      </c>
      <c r="L103" s="27" t="s">
        <v>414</v>
      </c>
      <c r="M103" s="48" t="s">
        <v>415</v>
      </c>
      <c r="O103" s="25" t="s">
        <v>416</v>
      </c>
    </row>
    <row r="104" spans="1:15" hidden="1" x14ac:dyDescent="0.25">
      <c r="A104" s="63">
        <v>97</v>
      </c>
      <c r="B104" s="27" t="s">
        <v>417</v>
      </c>
      <c r="C104" s="52" t="s">
        <v>679</v>
      </c>
      <c r="E104" s="30" t="s">
        <v>30</v>
      </c>
      <c r="F104" s="30">
        <v>15000</v>
      </c>
      <c r="G104" s="18"/>
      <c r="H104" s="19">
        <f t="shared" si="1"/>
        <v>15000</v>
      </c>
      <c r="J104" s="25" t="s">
        <v>586</v>
      </c>
      <c r="K104" s="26" t="s">
        <v>394</v>
      </c>
      <c r="L104" s="27" t="s">
        <v>582</v>
      </c>
      <c r="M104" s="48" t="s">
        <v>418</v>
      </c>
      <c r="O104" s="25" t="s">
        <v>419</v>
      </c>
    </row>
    <row r="105" spans="1:15" hidden="1" x14ac:dyDescent="0.25">
      <c r="A105" s="63">
        <v>98</v>
      </c>
      <c r="B105" s="27" t="s">
        <v>420</v>
      </c>
      <c r="C105" s="33" t="s">
        <v>680</v>
      </c>
      <c r="E105" s="30" t="s">
        <v>30</v>
      </c>
      <c r="F105" s="30">
        <v>11000</v>
      </c>
      <c r="G105" s="19"/>
      <c r="H105" s="19">
        <f t="shared" si="1"/>
        <v>11000</v>
      </c>
      <c r="J105" s="25" t="s">
        <v>587</v>
      </c>
      <c r="K105" s="26" t="s">
        <v>421</v>
      </c>
      <c r="L105" s="27" t="s">
        <v>422</v>
      </c>
      <c r="M105" s="48" t="s">
        <v>423</v>
      </c>
      <c r="O105" s="29" t="s">
        <v>424</v>
      </c>
    </row>
    <row r="106" spans="1:15" hidden="1" x14ac:dyDescent="0.25">
      <c r="A106" s="28">
        <v>99</v>
      </c>
      <c r="B106" s="27" t="s">
        <v>425</v>
      </c>
      <c r="C106" s="33" t="s">
        <v>681</v>
      </c>
      <c r="E106" s="30" t="s">
        <v>30</v>
      </c>
      <c r="F106" s="30">
        <v>14000</v>
      </c>
      <c r="G106" s="19"/>
      <c r="H106" s="19">
        <f t="shared" si="1"/>
        <v>14000</v>
      </c>
      <c r="J106" s="25" t="s">
        <v>587</v>
      </c>
      <c r="K106" s="26" t="s">
        <v>127</v>
      </c>
      <c r="L106" s="27" t="s">
        <v>426</v>
      </c>
      <c r="M106" s="48" t="s">
        <v>427</v>
      </c>
      <c r="O106" s="29" t="s">
        <v>428</v>
      </c>
    </row>
    <row r="107" spans="1:15" ht="31.5" x14ac:dyDescent="0.25">
      <c r="A107" s="63">
        <v>100</v>
      </c>
      <c r="B107" s="27" t="s">
        <v>429</v>
      </c>
      <c r="C107" s="33" t="s">
        <v>682</v>
      </c>
      <c r="E107" s="30" t="s">
        <v>18</v>
      </c>
      <c r="F107" s="30">
        <v>14000</v>
      </c>
      <c r="G107" s="19"/>
      <c r="H107" s="19">
        <f t="shared" si="1"/>
        <v>14000</v>
      </c>
      <c r="J107" s="25" t="s">
        <v>430</v>
      </c>
      <c r="K107" s="26" t="s">
        <v>228</v>
      </c>
      <c r="L107" s="27" t="s">
        <v>431</v>
      </c>
      <c r="M107" s="48" t="s">
        <v>432</v>
      </c>
      <c r="O107" s="29" t="s">
        <v>433</v>
      </c>
    </row>
    <row r="108" spans="1:15" hidden="1" x14ac:dyDescent="0.25">
      <c r="A108" s="63">
        <v>101</v>
      </c>
      <c r="B108" s="27" t="s">
        <v>434</v>
      </c>
      <c r="C108" s="33" t="s">
        <v>683</v>
      </c>
      <c r="E108" s="30" t="s">
        <v>30</v>
      </c>
      <c r="F108" s="30">
        <v>8000</v>
      </c>
      <c r="G108" s="19"/>
      <c r="H108" s="19">
        <f t="shared" si="1"/>
        <v>8000</v>
      </c>
      <c r="J108" s="25" t="s">
        <v>588</v>
      </c>
      <c r="K108" s="26" t="s">
        <v>435</v>
      </c>
      <c r="L108" s="27" t="s">
        <v>238</v>
      </c>
      <c r="M108" s="48" t="s">
        <v>365</v>
      </c>
      <c r="O108" s="29" t="s">
        <v>436</v>
      </c>
    </row>
    <row r="109" spans="1:15" ht="31.5" x14ac:dyDescent="0.25">
      <c r="A109" s="63">
        <v>102</v>
      </c>
      <c r="B109" s="27" t="s">
        <v>437</v>
      </c>
      <c r="C109" s="26" t="s">
        <v>684</v>
      </c>
      <c r="E109" s="30" t="s">
        <v>18</v>
      </c>
      <c r="F109" s="30">
        <v>8000</v>
      </c>
      <c r="G109" s="19"/>
      <c r="H109" s="19">
        <f t="shared" si="1"/>
        <v>8000</v>
      </c>
      <c r="J109" s="29" t="s">
        <v>586</v>
      </c>
      <c r="K109" s="26" t="s">
        <v>438</v>
      </c>
      <c r="L109" s="27" t="s">
        <v>16</v>
      </c>
      <c r="M109" s="49" t="s">
        <v>439</v>
      </c>
      <c r="O109" s="29" t="s">
        <v>440</v>
      </c>
    </row>
    <row r="110" spans="1:15" ht="31.5" hidden="1" x14ac:dyDescent="0.25">
      <c r="A110" s="28">
        <v>103</v>
      </c>
      <c r="B110" s="36" t="s">
        <v>441</v>
      </c>
      <c r="C110" s="73" t="s">
        <v>730</v>
      </c>
      <c r="E110" s="30" t="s">
        <v>30</v>
      </c>
      <c r="F110" s="30">
        <v>12857</v>
      </c>
      <c r="G110" s="19"/>
      <c r="H110" s="19">
        <f t="shared" si="1"/>
        <v>12857</v>
      </c>
      <c r="J110" s="29" t="s">
        <v>430</v>
      </c>
      <c r="K110" s="26" t="s">
        <v>442</v>
      </c>
      <c r="L110" s="26" t="s">
        <v>443</v>
      </c>
      <c r="M110" s="49" t="s">
        <v>444</v>
      </c>
      <c r="O110" s="25" t="s">
        <v>732</v>
      </c>
    </row>
    <row r="111" spans="1:15" hidden="1" x14ac:dyDescent="0.25">
      <c r="A111" s="63">
        <v>104</v>
      </c>
      <c r="B111" s="36" t="s">
        <v>441</v>
      </c>
      <c r="C111" s="73" t="s">
        <v>731</v>
      </c>
      <c r="E111" s="30" t="s">
        <v>30</v>
      </c>
      <c r="F111" s="30">
        <v>12857</v>
      </c>
      <c r="G111" s="18"/>
      <c r="H111" s="19">
        <f>+F111-G111</f>
        <v>12857</v>
      </c>
      <c r="J111" s="29" t="s">
        <v>21</v>
      </c>
      <c r="K111" s="26" t="s">
        <v>447</v>
      </c>
      <c r="L111" s="27" t="s">
        <v>448</v>
      </c>
      <c r="M111" s="49" t="s">
        <v>449</v>
      </c>
      <c r="O111" s="29" t="s">
        <v>450</v>
      </c>
    </row>
    <row r="112" spans="1:15" x14ac:dyDescent="0.25">
      <c r="A112" s="63">
        <v>105</v>
      </c>
      <c r="B112" s="27" t="s">
        <v>445</v>
      </c>
      <c r="C112" s="33" t="s">
        <v>446</v>
      </c>
      <c r="E112" s="30" t="s">
        <v>18</v>
      </c>
      <c r="F112" s="19">
        <v>8000</v>
      </c>
      <c r="G112" s="18">
        <f>+F112*10%</f>
        <v>800</v>
      </c>
      <c r="H112" s="19">
        <f t="shared" si="1"/>
        <v>7200</v>
      </c>
      <c r="J112" s="29" t="s">
        <v>21</v>
      </c>
      <c r="K112" s="26" t="s">
        <v>447</v>
      </c>
      <c r="L112" s="27" t="s">
        <v>448</v>
      </c>
      <c r="M112" s="49" t="s">
        <v>449</v>
      </c>
      <c r="O112" s="29" t="s">
        <v>450</v>
      </c>
    </row>
    <row r="113" spans="1:15" x14ac:dyDescent="0.25">
      <c r="A113" s="63">
        <v>106</v>
      </c>
      <c r="B113" s="27" t="s">
        <v>451</v>
      </c>
      <c r="C113" s="33" t="s">
        <v>686</v>
      </c>
      <c r="E113" s="30" t="s">
        <v>18</v>
      </c>
      <c r="F113" s="30">
        <v>14250</v>
      </c>
      <c r="G113" s="18">
        <f>+F113*10%</f>
        <v>1425</v>
      </c>
      <c r="H113" s="19">
        <f t="shared" si="1"/>
        <v>12825</v>
      </c>
      <c r="J113" s="25" t="s">
        <v>589</v>
      </c>
      <c r="K113" s="26" t="s">
        <v>452</v>
      </c>
      <c r="L113" s="27" t="s">
        <v>453</v>
      </c>
      <c r="M113" s="48" t="s">
        <v>454</v>
      </c>
      <c r="O113" s="29" t="s">
        <v>455</v>
      </c>
    </row>
    <row r="114" spans="1:15" x14ac:dyDescent="0.25">
      <c r="A114" s="28">
        <v>107</v>
      </c>
      <c r="B114" s="27" t="s">
        <v>456</v>
      </c>
      <c r="C114" s="33" t="s">
        <v>686</v>
      </c>
      <c r="E114" s="30" t="s">
        <v>18</v>
      </c>
      <c r="F114" s="30">
        <v>14250</v>
      </c>
      <c r="G114" s="18">
        <f>+F114*10%</f>
        <v>1425</v>
      </c>
      <c r="H114" s="19">
        <f t="shared" si="1"/>
        <v>12825</v>
      </c>
      <c r="J114" s="25" t="s">
        <v>589</v>
      </c>
      <c r="K114" s="26" t="s">
        <v>452</v>
      </c>
      <c r="L114" s="27" t="s">
        <v>453</v>
      </c>
      <c r="M114" s="48" t="s">
        <v>454</v>
      </c>
      <c r="O114" s="29" t="s">
        <v>455</v>
      </c>
    </row>
    <row r="115" spans="1:15" s="54" customFormat="1" ht="31.5" hidden="1" x14ac:dyDescent="0.25">
      <c r="A115" s="63">
        <v>108</v>
      </c>
      <c r="B115" s="31" t="s">
        <v>457</v>
      </c>
      <c r="C115" s="34" t="s">
        <v>706</v>
      </c>
      <c r="E115" s="55" t="s">
        <v>30</v>
      </c>
      <c r="F115" s="55">
        <v>11000</v>
      </c>
      <c r="G115" s="53"/>
      <c r="H115" s="53">
        <f t="shared" si="1"/>
        <v>11000</v>
      </c>
      <c r="J115" s="35" t="s">
        <v>592</v>
      </c>
      <c r="K115" s="46" t="s">
        <v>458</v>
      </c>
      <c r="L115" s="31" t="s">
        <v>459</v>
      </c>
      <c r="M115" s="50" t="s">
        <v>460</v>
      </c>
      <c r="O115" s="32" t="s">
        <v>461</v>
      </c>
    </row>
    <row r="116" spans="1:15" x14ac:dyDescent="0.25">
      <c r="A116" s="63">
        <v>109</v>
      </c>
      <c r="B116" s="27" t="s">
        <v>462</v>
      </c>
      <c r="C116" s="33" t="s">
        <v>687</v>
      </c>
      <c r="E116" s="30" t="s">
        <v>18</v>
      </c>
      <c r="F116" s="30">
        <v>10486</v>
      </c>
      <c r="G116" s="19"/>
      <c r="H116" s="19">
        <f t="shared" si="1"/>
        <v>10486</v>
      </c>
      <c r="J116" s="25" t="s">
        <v>585</v>
      </c>
      <c r="K116" s="26" t="s">
        <v>463</v>
      </c>
      <c r="L116" s="27" t="s">
        <v>464</v>
      </c>
      <c r="M116" s="48" t="s">
        <v>465</v>
      </c>
      <c r="O116" s="29" t="s">
        <v>466</v>
      </c>
    </row>
    <row r="117" spans="1:15" hidden="1" x14ac:dyDescent="0.25">
      <c r="A117" s="63">
        <v>110</v>
      </c>
      <c r="B117" s="27" t="s">
        <v>467</v>
      </c>
      <c r="C117" s="33" t="s">
        <v>688</v>
      </c>
      <c r="E117" s="30" t="s">
        <v>30</v>
      </c>
      <c r="F117" s="30">
        <v>8000</v>
      </c>
      <c r="G117" s="19"/>
      <c r="H117" s="19">
        <f t="shared" si="1"/>
        <v>8000</v>
      </c>
      <c r="J117" s="25" t="s">
        <v>592</v>
      </c>
      <c r="K117" s="26" t="s">
        <v>468</v>
      </c>
      <c r="L117" s="27" t="s">
        <v>469</v>
      </c>
      <c r="M117" s="48" t="s">
        <v>470</v>
      </c>
      <c r="O117" s="29" t="s">
        <v>471</v>
      </c>
    </row>
    <row r="118" spans="1:15" x14ac:dyDescent="0.25">
      <c r="A118" s="28">
        <v>111</v>
      </c>
      <c r="B118" s="31" t="s">
        <v>472</v>
      </c>
      <c r="C118" s="33" t="s">
        <v>689</v>
      </c>
      <c r="E118" s="30" t="s">
        <v>18</v>
      </c>
      <c r="F118" s="30">
        <v>8000</v>
      </c>
      <c r="G118" s="19"/>
      <c r="H118" s="19">
        <f t="shared" si="1"/>
        <v>8000</v>
      </c>
      <c r="J118" s="25" t="s">
        <v>412</v>
      </c>
      <c r="K118" s="26" t="s">
        <v>473</v>
      </c>
      <c r="L118" s="27" t="s">
        <v>474</v>
      </c>
      <c r="M118" s="48" t="s">
        <v>475</v>
      </c>
      <c r="O118" s="29" t="s">
        <v>476</v>
      </c>
    </row>
    <row r="119" spans="1:15" ht="31.5" x14ac:dyDescent="0.25">
      <c r="A119" s="63">
        <v>112</v>
      </c>
      <c r="B119" s="27" t="s">
        <v>477</v>
      </c>
      <c r="C119" s="33" t="s">
        <v>690</v>
      </c>
      <c r="E119" s="30" t="s">
        <v>18</v>
      </c>
      <c r="F119" s="30">
        <v>11000</v>
      </c>
      <c r="G119" s="19"/>
      <c r="H119" s="19">
        <f t="shared" si="1"/>
        <v>11000</v>
      </c>
      <c r="J119" s="25" t="s">
        <v>595</v>
      </c>
      <c r="K119" s="26" t="s">
        <v>478</v>
      </c>
      <c r="L119" s="27" t="s">
        <v>576</v>
      </c>
      <c r="M119" s="48">
        <v>50100594361</v>
      </c>
      <c r="O119" s="29" t="s">
        <v>479</v>
      </c>
    </row>
    <row r="120" spans="1:15" x14ac:dyDescent="0.25">
      <c r="A120" s="63">
        <v>113</v>
      </c>
      <c r="B120" s="27" t="s">
        <v>480</v>
      </c>
      <c r="C120" s="33" t="s">
        <v>691</v>
      </c>
      <c r="E120" s="30" t="s">
        <v>18</v>
      </c>
      <c r="F120" s="30">
        <v>11500</v>
      </c>
      <c r="G120" s="19"/>
      <c r="H120" s="19">
        <f t="shared" si="1"/>
        <v>11500</v>
      </c>
      <c r="J120" s="25" t="s">
        <v>589</v>
      </c>
      <c r="K120" s="26" t="s">
        <v>481</v>
      </c>
      <c r="L120" s="27" t="s">
        <v>482</v>
      </c>
      <c r="M120" s="48" t="s">
        <v>483</v>
      </c>
      <c r="O120" s="29" t="s">
        <v>484</v>
      </c>
    </row>
    <row r="121" spans="1:15" x14ac:dyDescent="0.25">
      <c r="A121" s="63">
        <v>114</v>
      </c>
      <c r="B121" s="27" t="s">
        <v>485</v>
      </c>
      <c r="C121" s="33" t="s">
        <v>692</v>
      </c>
      <c r="E121" s="30" t="s">
        <v>18</v>
      </c>
      <c r="F121" s="30">
        <v>12500</v>
      </c>
      <c r="G121" s="19"/>
      <c r="H121" s="19">
        <f t="shared" si="1"/>
        <v>12500</v>
      </c>
      <c r="J121" s="25" t="s">
        <v>588</v>
      </c>
      <c r="K121" s="26" t="s">
        <v>486</v>
      </c>
      <c r="L121" s="27" t="s">
        <v>577</v>
      </c>
      <c r="M121" s="48" t="s">
        <v>487</v>
      </c>
      <c r="O121" s="29" t="s">
        <v>488</v>
      </c>
    </row>
    <row r="122" spans="1:15" hidden="1" x14ac:dyDescent="0.25">
      <c r="A122" s="28">
        <v>115</v>
      </c>
      <c r="B122" s="27" t="s">
        <v>489</v>
      </c>
      <c r="C122" s="33" t="s">
        <v>693</v>
      </c>
      <c r="E122" s="30" t="s">
        <v>30</v>
      </c>
      <c r="F122" s="30">
        <v>15000</v>
      </c>
      <c r="G122" s="18">
        <f>+F122*10%</f>
        <v>1500</v>
      </c>
      <c r="H122" s="19">
        <f t="shared" si="1"/>
        <v>13500</v>
      </c>
      <c r="J122" s="25" t="s">
        <v>589</v>
      </c>
      <c r="K122" s="26" t="s">
        <v>490</v>
      </c>
      <c r="L122" s="27" t="s">
        <v>491</v>
      </c>
      <c r="M122" s="48" t="s">
        <v>492</v>
      </c>
      <c r="O122" s="29" t="s">
        <v>493</v>
      </c>
    </row>
    <row r="123" spans="1:15" x14ac:dyDescent="0.25">
      <c r="A123" s="63">
        <v>116</v>
      </c>
      <c r="B123" s="27" t="s">
        <v>494</v>
      </c>
      <c r="C123" s="26" t="s">
        <v>694</v>
      </c>
      <c r="E123" s="30" t="s">
        <v>18</v>
      </c>
      <c r="F123" s="30">
        <v>8000</v>
      </c>
      <c r="G123" s="19"/>
      <c r="H123" s="19">
        <f t="shared" si="1"/>
        <v>8000</v>
      </c>
      <c r="J123" s="25" t="s">
        <v>407</v>
      </c>
      <c r="K123" s="26" t="s">
        <v>117</v>
      </c>
      <c r="L123" s="27" t="s">
        <v>263</v>
      </c>
      <c r="M123" s="48" t="s">
        <v>495</v>
      </c>
      <c r="O123" s="29" t="s">
        <v>260</v>
      </c>
    </row>
    <row r="124" spans="1:15" x14ac:dyDescent="0.25">
      <c r="A124" s="63">
        <v>117</v>
      </c>
      <c r="B124" s="27" t="s">
        <v>496</v>
      </c>
      <c r="C124" s="26" t="s">
        <v>695</v>
      </c>
      <c r="E124" s="30" t="s">
        <v>18</v>
      </c>
      <c r="F124" s="30">
        <v>15000</v>
      </c>
      <c r="G124" s="19"/>
      <c r="H124" s="19">
        <f t="shared" si="1"/>
        <v>15000</v>
      </c>
      <c r="J124" s="25" t="s">
        <v>430</v>
      </c>
      <c r="K124" s="26" t="s">
        <v>497</v>
      </c>
      <c r="L124" s="27" t="s">
        <v>583</v>
      </c>
      <c r="M124" s="48" t="s">
        <v>752</v>
      </c>
      <c r="O124" s="29" t="s">
        <v>498</v>
      </c>
    </row>
    <row r="125" spans="1:15" x14ac:dyDescent="0.25">
      <c r="A125" s="63">
        <v>118</v>
      </c>
      <c r="B125" s="27" t="s">
        <v>499</v>
      </c>
      <c r="C125" s="26" t="s">
        <v>696</v>
      </c>
      <c r="E125" s="30" t="s">
        <v>18</v>
      </c>
      <c r="F125" s="30">
        <v>8000</v>
      </c>
      <c r="G125" s="19"/>
      <c r="H125" s="19">
        <f t="shared" si="1"/>
        <v>8000</v>
      </c>
      <c r="J125" s="25" t="s">
        <v>412</v>
      </c>
      <c r="K125" s="26" t="s">
        <v>500</v>
      </c>
      <c r="L125" s="27" t="s">
        <v>501</v>
      </c>
      <c r="M125" s="48" t="s">
        <v>502</v>
      </c>
      <c r="O125" s="29" t="s">
        <v>503</v>
      </c>
    </row>
    <row r="126" spans="1:15" x14ac:dyDescent="0.25">
      <c r="A126" s="28">
        <v>119</v>
      </c>
      <c r="B126" s="27" t="s">
        <v>504</v>
      </c>
      <c r="C126" s="26" t="s">
        <v>697</v>
      </c>
      <c r="E126" s="30" t="s">
        <v>18</v>
      </c>
      <c r="F126" s="30">
        <v>15000</v>
      </c>
      <c r="G126" s="18">
        <f>+F126*10%</f>
        <v>1500</v>
      </c>
      <c r="H126" s="19">
        <f t="shared" si="1"/>
        <v>13500</v>
      </c>
      <c r="J126" s="25" t="s">
        <v>407</v>
      </c>
      <c r="K126" s="26" t="s">
        <v>505</v>
      </c>
      <c r="L126" s="27" t="s">
        <v>506</v>
      </c>
      <c r="M126" s="48" t="s">
        <v>507</v>
      </c>
      <c r="O126" s="29" t="s">
        <v>508</v>
      </c>
    </row>
    <row r="127" spans="1:15" x14ac:dyDescent="0.25">
      <c r="A127" s="63">
        <v>120</v>
      </c>
      <c r="B127" s="27" t="s">
        <v>509</v>
      </c>
      <c r="C127" s="26" t="s">
        <v>697</v>
      </c>
      <c r="E127" s="30" t="s">
        <v>18</v>
      </c>
      <c r="F127" s="30">
        <v>15000</v>
      </c>
      <c r="G127" s="18">
        <f>+F127*10%</f>
        <v>1500</v>
      </c>
      <c r="H127" s="19">
        <f t="shared" si="1"/>
        <v>13500</v>
      </c>
      <c r="J127" s="25" t="s">
        <v>407</v>
      </c>
      <c r="K127" s="26" t="s">
        <v>505</v>
      </c>
      <c r="L127" s="27" t="s">
        <v>506</v>
      </c>
      <c r="M127" s="48" t="s">
        <v>507</v>
      </c>
      <c r="O127" s="29" t="s">
        <v>508</v>
      </c>
    </row>
    <row r="128" spans="1:15" ht="31.5" x14ac:dyDescent="0.25">
      <c r="A128" s="63">
        <v>121</v>
      </c>
      <c r="B128" s="27" t="s">
        <v>510</v>
      </c>
      <c r="C128" s="26" t="s">
        <v>698</v>
      </c>
      <c r="E128" s="30" t="s">
        <v>18</v>
      </c>
      <c r="F128" s="30">
        <v>11000</v>
      </c>
      <c r="G128" s="19"/>
      <c r="H128" s="19">
        <f t="shared" si="1"/>
        <v>11000</v>
      </c>
      <c r="J128" s="25" t="s">
        <v>21</v>
      </c>
      <c r="K128" s="26" t="s">
        <v>338</v>
      </c>
      <c r="L128" s="27" t="s">
        <v>511</v>
      </c>
      <c r="M128" s="48">
        <v>32412916155</v>
      </c>
      <c r="O128" s="25" t="s">
        <v>512</v>
      </c>
    </row>
    <row r="129" spans="1:15" x14ac:dyDescent="0.25">
      <c r="A129" s="63">
        <v>122</v>
      </c>
      <c r="B129" s="27" t="s">
        <v>513</v>
      </c>
      <c r="C129" s="26" t="s">
        <v>705</v>
      </c>
      <c r="E129" s="30" t="s">
        <v>18</v>
      </c>
      <c r="F129" s="30">
        <v>11000</v>
      </c>
      <c r="G129" s="19"/>
      <c r="H129" s="19">
        <f t="shared" si="1"/>
        <v>11000</v>
      </c>
      <c r="J129" s="25" t="s">
        <v>589</v>
      </c>
      <c r="K129" s="26" t="s">
        <v>514</v>
      </c>
      <c r="L129" s="27" t="s">
        <v>453</v>
      </c>
      <c r="M129" s="48" t="s">
        <v>515</v>
      </c>
      <c r="O129" s="25" t="s">
        <v>516</v>
      </c>
    </row>
    <row r="130" spans="1:15" x14ac:dyDescent="0.25">
      <c r="A130" s="28">
        <v>123</v>
      </c>
      <c r="B130" s="27" t="s">
        <v>517</v>
      </c>
      <c r="C130" s="26" t="s">
        <v>699</v>
      </c>
      <c r="E130" s="30" t="s">
        <v>18</v>
      </c>
      <c r="F130" s="30">
        <v>11000</v>
      </c>
      <c r="G130" s="18">
        <f>+F130*10%</f>
        <v>1100</v>
      </c>
      <c r="H130" s="19">
        <f t="shared" si="1"/>
        <v>9900</v>
      </c>
      <c r="J130" s="29" t="s">
        <v>587</v>
      </c>
      <c r="K130" s="26" t="s">
        <v>518</v>
      </c>
      <c r="L130" s="27" t="s">
        <v>519</v>
      </c>
      <c r="M130" s="49" t="s">
        <v>520</v>
      </c>
      <c r="O130" s="29" t="s">
        <v>521</v>
      </c>
    </row>
    <row r="131" spans="1:15" x14ac:dyDescent="0.25">
      <c r="A131" s="63">
        <v>124</v>
      </c>
      <c r="B131" s="27" t="s">
        <v>522</v>
      </c>
      <c r="C131" s="26" t="s">
        <v>699</v>
      </c>
      <c r="E131" s="30" t="s">
        <v>18</v>
      </c>
      <c r="F131" s="30">
        <v>11000</v>
      </c>
      <c r="G131" s="18">
        <f>+F131*10%</f>
        <v>1100</v>
      </c>
      <c r="H131" s="19">
        <f t="shared" si="1"/>
        <v>9900</v>
      </c>
      <c r="J131" s="29" t="s">
        <v>587</v>
      </c>
      <c r="K131" s="26" t="s">
        <v>518</v>
      </c>
      <c r="L131" s="27" t="s">
        <v>519</v>
      </c>
      <c r="M131" s="49" t="s">
        <v>520</v>
      </c>
      <c r="O131" s="29" t="s">
        <v>521</v>
      </c>
    </row>
    <row r="132" spans="1:15" ht="31.5" x14ac:dyDescent="0.25">
      <c r="A132" s="63">
        <v>125</v>
      </c>
      <c r="B132" s="27" t="s">
        <v>523</v>
      </c>
      <c r="C132" s="26" t="s">
        <v>700</v>
      </c>
      <c r="E132" s="30" t="s">
        <v>18</v>
      </c>
      <c r="F132" s="30">
        <v>12500</v>
      </c>
      <c r="G132" s="19"/>
      <c r="H132" s="19">
        <f t="shared" si="1"/>
        <v>12500</v>
      </c>
      <c r="J132" s="25" t="s">
        <v>407</v>
      </c>
      <c r="K132" s="26" t="s">
        <v>524</v>
      </c>
      <c r="L132" s="27" t="s">
        <v>525</v>
      </c>
      <c r="M132" s="48" t="s">
        <v>526</v>
      </c>
      <c r="O132" s="29" t="s">
        <v>527</v>
      </c>
    </row>
    <row r="133" spans="1:15" x14ac:dyDescent="0.25">
      <c r="A133" s="63">
        <v>126</v>
      </c>
      <c r="B133" s="27" t="s">
        <v>528</v>
      </c>
      <c r="C133" s="26" t="s">
        <v>701</v>
      </c>
      <c r="E133" s="30" t="s">
        <v>18</v>
      </c>
      <c r="F133" s="30">
        <v>15000</v>
      </c>
      <c r="G133" s="19"/>
      <c r="H133" s="19">
        <f t="shared" si="1"/>
        <v>15000</v>
      </c>
      <c r="J133" s="25" t="s">
        <v>589</v>
      </c>
      <c r="K133" s="26" t="s">
        <v>529</v>
      </c>
      <c r="L133" s="27" t="s">
        <v>491</v>
      </c>
      <c r="M133" s="48" t="s">
        <v>530</v>
      </c>
      <c r="O133" s="29" t="s">
        <v>531</v>
      </c>
    </row>
    <row r="134" spans="1:15" ht="31.5" x14ac:dyDescent="0.25">
      <c r="A134" s="28">
        <v>127</v>
      </c>
      <c r="B134" s="27" t="s">
        <v>532</v>
      </c>
      <c r="C134" s="26" t="s">
        <v>533</v>
      </c>
      <c r="E134" s="30" t="s">
        <v>18</v>
      </c>
      <c r="F134" s="30">
        <v>30000</v>
      </c>
      <c r="G134" s="19">
        <f>+F134*10%</f>
        <v>3000</v>
      </c>
      <c r="H134" s="19">
        <f>+F134-G134</f>
        <v>27000</v>
      </c>
      <c r="J134" s="25" t="s">
        <v>412</v>
      </c>
      <c r="K134" s="26" t="s">
        <v>534</v>
      </c>
      <c r="L134" s="27" t="s">
        <v>535</v>
      </c>
      <c r="M134" s="48" t="s">
        <v>536</v>
      </c>
      <c r="O134" s="29" t="s">
        <v>537</v>
      </c>
    </row>
    <row r="135" spans="1:15" ht="31.5" x14ac:dyDescent="0.25">
      <c r="A135" s="63">
        <v>128</v>
      </c>
      <c r="B135" s="27" t="s">
        <v>538</v>
      </c>
      <c r="C135" s="26" t="s">
        <v>704</v>
      </c>
      <c r="E135" s="30" t="s">
        <v>18</v>
      </c>
      <c r="F135" s="30">
        <v>12500</v>
      </c>
      <c r="G135" s="19"/>
      <c r="H135" s="19">
        <f t="shared" si="1"/>
        <v>12500</v>
      </c>
      <c r="J135" s="25" t="s">
        <v>412</v>
      </c>
      <c r="K135" s="26" t="s">
        <v>539</v>
      </c>
      <c r="L135" s="27" t="s">
        <v>540</v>
      </c>
      <c r="M135" s="48" t="s">
        <v>541</v>
      </c>
      <c r="O135" s="29" t="s">
        <v>542</v>
      </c>
    </row>
    <row r="136" spans="1:15" x14ac:dyDescent="0.25">
      <c r="A136" s="63">
        <v>129</v>
      </c>
      <c r="B136" s="27" t="s">
        <v>543</v>
      </c>
      <c r="C136" s="26" t="s">
        <v>702</v>
      </c>
      <c r="E136" s="30" t="s">
        <v>18</v>
      </c>
      <c r="F136" s="30">
        <v>15000</v>
      </c>
      <c r="G136" s="19"/>
      <c r="H136" s="19">
        <f t="shared" si="1"/>
        <v>15000</v>
      </c>
      <c r="J136" s="25" t="s">
        <v>587</v>
      </c>
      <c r="K136" s="26" t="s">
        <v>544</v>
      </c>
      <c r="L136" s="27" t="s">
        <v>545</v>
      </c>
      <c r="M136" s="48" t="s">
        <v>546</v>
      </c>
      <c r="O136" s="29" t="s">
        <v>547</v>
      </c>
    </row>
    <row r="137" spans="1:15" s="54" customFormat="1" ht="31.5" x14ac:dyDescent="0.25">
      <c r="A137" s="63">
        <v>130</v>
      </c>
      <c r="B137" s="31" t="s">
        <v>548</v>
      </c>
      <c r="C137" s="46" t="s">
        <v>601</v>
      </c>
      <c r="E137" s="55" t="s">
        <v>18</v>
      </c>
      <c r="F137" s="55">
        <v>11000</v>
      </c>
      <c r="G137" s="53"/>
      <c r="H137" s="53">
        <f t="shared" si="1"/>
        <v>11000</v>
      </c>
      <c r="J137" s="35" t="s">
        <v>407</v>
      </c>
      <c r="K137" s="46" t="s">
        <v>549</v>
      </c>
      <c r="L137" s="31" t="s">
        <v>550</v>
      </c>
      <c r="M137" s="50" t="s">
        <v>551</v>
      </c>
      <c r="O137" s="32" t="s">
        <v>552</v>
      </c>
    </row>
    <row r="138" spans="1:15" x14ac:dyDescent="0.25">
      <c r="A138" s="28">
        <v>131</v>
      </c>
      <c r="B138" s="27" t="s">
        <v>553</v>
      </c>
      <c r="C138" s="26" t="s">
        <v>554</v>
      </c>
      <c r="E138" s="30" t="s">
        <v>18</v>
      </c>
      <c r="F138" s="30">
        <v>30000</v>
      </c>
      <c r="G138" s="19">
        <f>+F138*10%</f>
        <v>3000</v>
      </c>
      <c r="H138" s="19">
        <f t="shared" si="1"/>
        <v>27000</v>
      </c>
      <c r="J138" s="25" t="s">
        <v>590</v>
      </c>
      <c r="K138" s="26" t="s">
        <v>555</v>
      </c>
      <c r="L138" s="27" t="s">
        <v>556</v>
      </c>
      <c r="M138" s="48" t="s">
        <v>557</v>
      </c>
      <c r="O138" s="32" t="s">
        <v>558</v>
      </c>
    </row>
    <row r="139" spans="1:15" ht="16.5" thickBot="1" x14ac:dyDescent="0.3">
      <c r="A139" s="63">
        <v>132</v>
      </c>
      <c r="B139" s="27" t="s">
        <v>559</v>
      </c>
      <c r="C139" s="26" t="s">
        <v>703</v>
      </c>
      <c r="E139" s="30" t="s">
        <v>18</v>
      </c>
      <c r="F139" s="30">
        <v>15000</v>
      </c>
      <c r="G139" s="19"/>
      <c r="H139" s="19">
        <f t="shared" si="1"/>
        <v>15000</v>
      </c>
      <c r="J139" s="25" t="s">
        <v>589</v>
      </c>
      <c r="K139" s="26" t="s">
        <v>529</v>
      </c>
      <c r="L139" s="27" t="s">
        <v>491</v>
      </c>
      <c r="M139" s="48" t="s">
        <v>560</v>
      </c>
      <c r="O139" s="29" t="s">
        <v>561</v>
      </c>
    </row>
    <row r="140" spans="1:15" ht="16.5" thickBot="1" x14ac:dyDescent="0.3">
      <c r="A140" s="37"/>
      <c r="B140" s="38"/>
      <c r="C140" s="61"/>
      <c r="E140" s="39"/>
      <c r="F140" s="39">
        <f>SUM(F8:F139)</f>
        <v>1445950</v>
      </c>
      <c r="G140" s="40">
        <f>SUM(G8:G139)</f>
        <v>38875</v>
      </c>
      <c r="H140" s="40">
        <f>SUM(H8:H139)</f>
        <v>1407075</v>
      </c>
      <c r="J140" s="41"/>
      <c r="K140" s="42"/>
      <c r="L140" s="43"/>
      <c r="M140" s="51"/>
      <c r="O140" s="44"/>
    </row>
  </sheetData>
  <autoFilter ref="A7:O139" xr:uid="{00000000-0009-0000-0000-000000000000}">
    <filterColumn colId="4">
      <filters>
        <filter val="10th"/>
      </filters>
    </filterColumn>
  </autoFilter>
  <mergeCells count="6">
    <mergeCell ref="J5:M5"/>
    <mergeCell ref="A1:M1"/>
    <mergeCell ref="A2:M2"/>
    <mergeCell ref="A3:M3"/>
    <mergeCell ref="E5:H5"/>
    <mergeCell ref="A5:C5"/>
  </mergeCells>
  <pageMargins left="0.7" right="0.7" top="0.75" bottom="0.75" header="0.3" footer="0.3"/>
  <pageSetup paperSize="9" scale="7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1"/>
  <sheetViews>
    <sheetView tabSelected="1" view="pageBreakPreview" zoomScale="70" zoomScaleSheetLayoutView="70" workbookViewId="0">
      <selection activeCell="A59" sqref="A59:XFD59"/>
    </sheetView>
  </sheetViews>
  <sheetFormatPr defaultColWidth="8.42578125" defaultRowHeight="15.75" x14ac:dyDescent="0.25"/>
  <cols>
    <col min="1" max="1" width="7" style="1" customWidth="1"/>
    <col min="2" max="2" width="9.5703125" style="2" customWidth="1"/>
    <col min="3" max="3" width="22.85546875" style="3" customWidth="1"/>
    <col min="4" max="4" width="15.85546875" style="3" customWidth="1"/>
    <col min="5" max="5" width="10.5703125" style="45" customWidth="1"/>
    <col min="6" max="6" width="23.5703125" style="45" bestFit="1" customWidth="1"/>
    <col min="7" max="7" width="7.85546875" style="45" bestFit="1" customWidth="1"/>
    <col min="8" max="8" width="16" style="45" bestFit="1" customWidth="1"/>
    <col min="9" max="9" width="15" style="62" bestFit="1" customWidth="1"/>
    <col min="10" max="10" width="14.42578125" style="318" customWidth="1"/>
    <col min="11" max="11" width="14.140625" style="318" customWidth="1"/>
    <col min="12" max="12" width="12.85546875" style="318" customWidth="1"/>
    <col min="13" max="13" width="6.85546875" style="1" customWidth="1"/>
    <col min="14" max="14" width="7.7109375" style="74" bestFit="1" customWidth="1"/>
    <col min="15" max="15" width="9.28515625" style="74" customWidth="1"/>
    <col min="16" max="16" width="14.7109375" style="74" bestFit="1" customWidth="1"/>
    <col min="17" max="17" width="12.42578125" style="2" bestFit="1" customWidth="1"/>
    <col min="18" max="18" width="14.85546875" style="2" bestFit="1" customWidth="1"/>
    <col min="19" max="19" width="13.5703125" style="2" customWidth="1"/>
    <col min="20" max="20" width="15.140625" style="2" customWidth="1"/>
    <col min="21" max="21" width="19.28515625" style="2" customWidth="1"/>
    <col min="22" max="22" width="12.7109375" style="2" customWidth="1"/>
    <col min="23" max="23" width="9" style="2" bestFit="1" customWidth="1"/>
    <col min="24" max="16384" width="8.42578125" style="2"/>
  </cols>
  <sheetData>
    <row r="1" spans="1:22" ht="31.5" x14ac:dyDescent="0.5">
      <c r="A1" s="508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6"/>
      <c r="N1" s="507"/>
      <c r="O1" s="507"/>
      <c r="P1" s="507"/>
      <c r="Q1" s="506"/>
      <c r="R1" s="506"/>
      <c r="S1" s="506"/>
      <c r="T1" s="506"/>
      <c r="U1" s="506"/>
    </row>
    <row r="2" spans="1:22" ht="31.5" x14ac:dyDescent="0.5">
      <c r="A2" s="508" t="s">
        <v>713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6"/>
      <c r="N2" s="507"/>
      <c r="O2" s="507"/>
      <c r="P2" s="507"/>
      <c r="Q2" s="506"/>
      <c r="R2" s="506"/>
      <c r="S2" s="506"/>
      <c r="T2" s="506"/>
      <c r="U2" s="506"/>
    </row>
    <row r="3" spans="1:22" ht="31.5" x14ac:dyDescent="0.5">
      <c r="A3" s="508"/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6"/>
      <c r="N3" s="507"/>
      <c r="O3" s="507"/>
      <c r="P3" s="507"/>
      <c r="Q3" s="506"/>
      <c r="R3" s="506"/>
      <c r="S3" s="506"/>
      <c r="T3" s="506"/>
      <c r="U3" s="506"/>
    </row>
    <row r="4" spans="1:22" ht="32.25" thickBot="1" x14ac:dyDescent="0.55000000000000004">
      <c r="A4" s="58"/>
      <c r="B4" s="58"/>
      <c r="C4" s="60"/>
      <c r="D4" s="60"/>
      <c r="E4" s="58"/>
      <c r="F4" s="58"/>
      <c r="G4" s="58"/>
      <c r="H4" s="58"/>
    </row>
    <row r="5" spans="1:22" ht="16.5" thickBot="1" x14ac:dyDescent="0.3">
      <c r="A5" s="512" t="s">
        <v>0</v>
      </c>
      <c r="B5" s="513"/>
      <c r="C5" s="514"/>
      <c r="D5" s="317"/>
      <c r="E5" s="515" t="s">
        <v>562</v>
      </c>
      <c r="F5" s="516"/>
      <c r="G5" s="516"/>
      <c r="H5" s="517"/>
      <c r="I5" s="509" t="s">
        <v>563</v>
      </c>
      <c r="J5" s="510"/>
      <c r="K5" s="511"/>
      <c r="L5" s="354" t="s">
        <v>564</v>
      </c>
      <c r="M5" s="518"/>
      <c r="N5" s="519"/>
      <c r="O5" s="519"/>
      <c r="P5" s="520"/>
      <c r="R5" s="509" t="s">
        <v>565</v>
      </c>
      <c r="S5" s="510"/>
      <c r="T5" s="510"/>
      <c r="U5" s="511"/>
    </row>
    <row r="6" spans="1:22" ht="16.5" thickBot="1" x14ac:dyDescent="0.3">
      <c r="A6" s="5"/>
      <c r="B6" s="6" t="s">
        <v>4</v>
      </c>
      <c r="C6" s="6" t="s">
        <v>5</v>
      </c>
      <c r="D6" s="6" t="s">
        <v>928</v>
      </c>
      <c r="E6" s="191" t="s">
        <v>720</v>
      </c>
      <c r="F6" s="191" t="s">
        <v>6</v>
      </c>
      <c r="G6" s="192" t="s">
        <v>7</v>
      </c>
      <c r="H6" s="192" t="s">
        <v>8</v>
      </c>
      <c r="I6" s="193" t="s">
        <v>566</v>
      </c>
      <c r="J6" s="319" t="s">
        <v>567</v>
      </c>
      <c r="K6" s="319" t="s">
        <v>568</v>
      </c>
      <c r="L6" s="355" t="s">
        <v>568</v>
      </c>
      <c r="M6" s="194" t="s">
        <v>569</v>
      </c>
      <c r="N6" s="195" t="s">
        <v>570</v>
      </c>
      <c r="O6" s="195" t="s">
        <v>570</v>
      </c>
      <c r="P6" s="195" t="s">
        <v>571</v>
      </c>
      <c r="R6" s="196" t="s">
        <v>572</v>
      </c>
      <c r="S6" s="197" t="s">
        <v>721</v>
      </c>
      <c r="T6" s="197" t="s">
        <v>721</v>
      </c>
      <c r="U6" s="198" t="s">
        <v>573</v>
      </c>
      <c r="V6" s="2" t="s">
        <v>933</v>
      </c>
    </row>
    <row r="7" spans="1:22" x14ac:dyDescent="0.25">
      <c r="A7" s="199"/>
      <c r="B7" s="200"/>
      <c r="C7" s="13"/>
      <c r="D7" s="13"/>
      <c r="E7" s="201"/>
      <c r="F7" s="202"/>
      <c r="G7" s="202"/>
      <c r="H7" s="202"/>
      <c r="I7" s="203"/>
      <c r="J7" s="320"/>
      <c r="K7" s="320"/>
      <c r="L7" s="356"/>
      <c r="M7" s="206"/>
      <c r="N7" s="207"/>
      <c r="O7" s="207"/>
      <c r="P7" s="207"/>
      <c r="R7" s="205"/>
      <c r="S7" s="204"/>
      <c r="T7" s="204"/>
      <c r="U7" s="204"/>
    </row>
    <row r="8" spans="1:22" x14ac:dyDescent="0.25">
      <c r="A8" s="248">
        <v>1</v>
      </c>
      <c r="B8" s="255" t="s">
        <v>804</v>
      </c>
      <c r="C8" s="381" t="s">
        <v>805</v>
      </c>
      <c r="D8" s="381" t="s">
        <v>929</v>
      </c>
      <c r="E8" s="382" t="s">
        <v>30</v>
      </c>
      <c r="F8" s="382">
        <v>31000</v>
      </c>
      <c r="G8" s="382"/>
      <c r="H8" s="382">
        <v>31000</v>
      </c>
      <c r="I8" s="383" t="s">
        <v>808</v>
      </c>
      <c r="J8" s="384" t="s">
        <v>809</v>
      </c>
      <c r="K8" s="385"/>
      <c r="L8" s="386" t="s">
        <v>810</v>
      </c>
      <c r="M8" s="248">
        <v>36</v>
      </c>
      <c r="N8" s="254"/>
      <c r="O8" s="254">
        <f t="shared" ref="O8:O13" si="0">T8/F8</f>
        <v>10</v>
      </c>
      <c r="P8" s="254">
        <f t="shared" ref="P8:P13" si="1">M8-O8</f>
        <v>26</v>
      </c>
      <c r="R8" s="387">
        <f>F8*M8</f>
        <v>1116000</v>
      </c>
      <c r="S8" s="387"/>
      <c r="T8" s="387">
        <f>'[1]A - 001'!$D$45</f>
        <v>310000</v>
      </c>
      <c r="U8" s="387">
        <f>R8-S8-T8</f>
        <v>806000</v>
      </c>
    </row>
    <row r="9" spans="1:22" x14ac:dyDescent="0.25">
      <c r="A9" s="248">
        <v>2</v>
      </c>
      <c r="B9" s="255" t="s">
        <v>791</v>
      </c>
      <c r="C9" s="381" t="s">
        <v>792</v>
      </c>
      <c r="D9" s="381" t="s">
        <v>929</v>
      </c>
      <c r="E9" s="382" t="s">
        <v>30</v>
      </c>
      <c r="F9" s="382">
        <v>31000</v>
      </c>
      <c r="G9" s="382">
        <v>3100</v>
      </c>
      <c r="H9" s="382">
        <f>F9-G9</f>
        <v>27900</v>
      </c>
      <c r="I9" s="383" t="s">
        <v>811</v>
      </c>
      <c r="J9" s="388" t="s">
        <v>813</v>
      </c>
      <c r="K9" s="385"/>
      <c r="L9" s="386" t="s">
        <v>812</v>
      </c>
      <c r="M9" s="248">
        <v>36</v>
      </c>
      <c r="N9" s="254"/>
      <c r="O9" s="254">
        <f t="shared" si="0"/>
        <v>14</v>
      </c>
      <c r="P9" s="254">
        <f t="shared" si="1"/>
        <v>22</v>
      </c>
      <c r="R9" s="387">
        <f>F9*M9</f>
        <v>1116000</v>
      </c>
      <c r="S9" s="387"/>
      <c r="T9" s="387">
        <f>'[2]A - 002'!$D$45</f>
        <v>434000</v>
      </c>
      <c r="U9" s="387">
        <f>R9-T9</f>
        <v>682000</v>
      </c>
    </row>
    <row r="10" spans="1:22" x14ac:dyDescent="0.25">
      <c r="A10" s="248">
        <v>3</v>
      </c>
      <c r="B10" s="255" t="s">
        <v>823</v>
      </c>
      <c r="C10" s="381" t="s">
        <v>824</v>
      </c>
      <c r="D10" s="381" t="s">
        <v>929</v>
      </c>
      <c r="E10" s="382" t="s">
        <v>30</v>
      </c>
      <c r="F10" s="382">
        <v>31000</v>
      </c>
      <c r="G10" s="382"/>
      <c r="H10" s="382">
        <v>31000</v>
      </c>
      <c r="I10" s="383" t="s">
        <v>930</v>
      </c>
      <c r="J10" s="388" t="s">
        <v>809</v>
      </c>
      <c r="K10" s="385"/>
      <c r="L10" s="386" t="s">
        <v>810</v>
      </c>
      <c r="M10" s="248">
        <v>36</v>
      </c>
      <c r="N10" s="254"/>
      <c r="O10" s="254">
        <f t="shared" si="0"/>
        <v>9</v>
      </c>
      <c r="P10" s="254">
        <f t="shared" si="1"/>
        <v>27</v>
      </c>
      <c r="R10" s="387">
        <f>M10*F10</f>
        <v>1116000</v>
      </c>
      <c r="S10" s="387"/>
      <c r="T10" s="387">
        <f>'[3]A - 003'!$D$45</f>
        <v>279000</v>
      </c>
      <c r="U10" s="387">
        <f>R10-T10</f>
        <v>837000</v>
      </c>
    </row>
    <row r="11" spans="1:22" x14ac:dyDescent="0.25">
      <c r="A11" s="63">
        <f t="shared" ref="A11:A32" si="2">A10+1</f>
        <v>4</v>
      </c>
      <c r="B11" s="16" t="s">
        <v>801</v>
      </c>
      <c r="C11" s="24" t="s">
        <v>802</v>
      </c>
      <c r="D11" s="24" t="s">
        <v>929</v>
      </c>
      <c r="E11" s="30" t="s">
        <v>18</v>
      </c>
      <c r="F11" s="19">
        <v>31000</v>
      </c>
      <c r="G11" s="19"/>
      <c r="H11" s="19">
        <v>31000</v>
      </c>
      <c r="I11" s="389" t="s">
        <v>806</v>
      </c>
      <c r="J11" s="390">
        <v>45935</v>
      </c>
      <c r="K11" s="353"/>
      <c r="L11" s="367">
        <v>47030</v>
      </c>
      <c r="M11" s="63">
        <v>36</v>
      </c>
      <c r="N11" s="391"/>
      <c r="O11" s="391">
        <f t="shared" si="0"/>
        <v>13</v>
      </c>
      <c r="P11" s="391">
        <f t="shared" si="1"/>
        <v>23</v>
      </c>
      <c r="R11" s="102">
        <f>F11*M11</f>
        <v>1116000</v>
      </c>
      <c r="S11" s="392"/>
      <c r="T11" s="392">
        <f>'[4]A - 004'!$D$45</f>
        <v>403000</v>
      </c>
      <c r="U11" s="102">
        <f>R11-S11-T11</f>
        <v>713000</v>
      </c>
    </row>
    <row r="12" spans="1:22" ht="31.5" x14ac:dyDescent="0.25">
      <c r="A12" s="63">
        <v>5</v>
      </c>
      <c r="B12" s="16" t="s">
        <v>882</v>
      </c>
      <c r="C12" s="24" t="s">
        <v>883</v>
      </c>
      <c r="D12" s="24" t="s">
        <v>929</v>
      </c>
      <c r="E12" s="30" t="s">
        <v>18</v>
      </c>
      <c r="F12" s="19">
        <v>31000</v>
      </c>
      <c r="G12" s="19"/>
      <c r="H12" s="19">
        <v>31000</v>
      </c>
      <c r="I12" s="389" t="s">
        <v>884</v>
      </c>
      <c r="J12" s="390">
        <v>45942</v>
      </c>
      <c r="K12" s="353"/>
      <c r="L12" s="367">
        <v>47037</v>
      </c>
      <c r="M12" s="63">
        <v>36</v>
      </c>
      <c r="N12" s="391"/>
      <c r="O12" s="391">
        <f t="shared" si="0"/>
        <v>6</v>
      </c>
      <c r="P12" s="391">
        <f t="shared" si="1"/>
        <v>30</v>
      </c>
      <c r="R12" s="102">
        <f>F12*M12</f>
        <v>1116000</v>
      </c>
      <c r="S12" s="392"/>
      <c r="T12" s="392">
        <f>'[5]A - 005'!$D$45</f>
        <v>186000</v>
      </c>
      <c r="U12" s="102">
        <f>R12-T12</f>
        <v>930000</v>
      </c>
      <c r="V12" s="2" t="s">
        <v>863</v>
      </c>
    </row>
    <row r="13" spans="1:22" ht="31.5" x14ac:dyDescent="0.25">
      <c r="A13" s="63">
        <v>6</v>
      </c>
      <c r="B13" s="16" t="s">
        <v>793</v>
      </c>
      <c r="C13" s="24" t="s">
        <v>794</v>
      </c>
      <c r="D13" s="24" t="s">
        <v>929</v>
      </c>
      <c r="E13" s="30" t="s">
        <v>18</v>
      </c>
      <c r="F13" s="19">
        <v>31000</v>
      </c>
      <c r="G13" s="19">
        <v>3100</v>
      </c>
      <c r="H13" s="19">
        <f>F13-G13</f>
        <v>27900</v>
      </c>
      <c r="I13" s="393" t="s">
        <v>807</v>
      </c>
      <c r="J13" s="390">
        <v>45577</v>
      </c>
      <c r="K13" s="353"/>
      <c r="L13" s="367">
        <v>47402</v>
      </c>
      <c r="M13" s="63">
        <v>60</v>
      </c>
      <c r="N13" s="391"/>
      <c r="O13" s="391">
        <f t="shared" si="0"/>
        <v>18</v>
      </c>
      <c r="P13" s="391">
        <f t="shared" si="1"/>
        <v>42</v>
      </c>
      <c r="R13" s="102">
        <f>F13*M13</f>
        <v>1860000</v>
      </c>
      <c r="S13" s="392"/>
      <c r="T13" s="392">
        <f>'[6]A - 006'!$D$69</f>
        <v>558000</v>
      </c>
      <c r="U13" s="102">
        <f>R13-T13</f>
        <v>1302000</v>
      </c>
    </row>
    <row r="14" spans="1:22" ht="19.5" customHeight="1" x14ac:dyDescent="0.25">
      <c r="A14" s="63">
        <f t="shared" si="2"/>
        <v>7</v>
      </c>
      <c r="B14" s="16" t="s">
        <v>14</v>
      </c>
      <c r="C14" s="24" t="s">
        <v>602</v>
      </c>
      <c r="D14" s="24" t="s">
        <v>929</v>
      </c>
      <c r="E14" s="30" t="s">
        <v>18</v>
      </c>
      <c r="F14" s="19">
        <v>25000</v>
      </c>
      <c r="G14" s="19">
        <f t="shared" ref="G14:G71" si="3">+F14*10%</f>
        <v>2500</v>
      </c>
      <c r="H14" s="19">
        <f t="shared" ref="H14:H71" si="4">+F14-G14:G14</f>
        <v>22500</v>
      </c>
      <c r="I14" s="393">
        <v>42613</v>
      </c>
      <c r="J14" s="390">
        <v>42623</v>
      </c>
      <c r="K14" s="353">
        <f t="shared" ref="K14:K59" si="5">DATE(YEAR(J14),MONTH(J14)+99,DAY(J14))</f>
        <v>45636</v>
      </c>
      <c r="L14" s="367">
        <f>EDATE(K14,20)</f>
        <v>46244</v>
      </c>
      <c r="M14" s="63">
        <v>100</v>
      </c>
      <c r="N14" s="391">
        <f>+S14/F14</f>
        <v>0</v>
      </c>
      <c r="O14" s="391">
        <f>+T14/F14</f>
        <v>96</v>
      </c>
      <c r="P14" s="391">
        <f t="shared" ref="P14:P71" si="6">+M14-N14-O14</f>
        <v>4</v>
      </c>
      <c r="R14" s="102">
        <f>+F14*100</f>
        <v>2500000</v>
      </c>
      <c r="S14" s="392">
        <v>0</v>
      </c>
      <c r="T14" s="392">
        <f>'[7]A - 007'!$D$121</f>
        <v>2400000</v>
      </c>
      <c r="U14" s="102">
        <f t="shared" ref="U14:U71" si="7">+R14-S14-T14</f>
        <v>100000</v>
      </c>
    </row>
    <row r="15" spans="1:22" ht="31.5" x14ac:dyDescent="0.25">
      <c r="A15" s="394">
        <f t="shared" si="2"/>
        <v>8</v>
      </c>
      <c r="B15" s="395" t="s">
        <v>795</v>
      </c>
      <c r="C15" s="396" t="s">
        <v>794</v>
      </c>
      <c r="D15" s="396" t="s">
        <v>929</v>
      </c>
      <c r="E15" s="397" t="s">
        <v>18</v>
      </c>
      <c r="F15" s="398">
        <v>31000</v>
      </c>
      <c r="G15" s="398">
        <v>3100</v>
      </c>
      <c r="H15" s="398">
        <f>F15-G15</f>
        <v>27900</v>
      </c>
      <c r="I15" s="399" t="s">
        <v>807</v>
      </c>
      <c r="J15" s="400">
        <v>45577</v>
      </c>
      <c r="K15" s="401"/>
      <c r="L15" s="402">
        <v>47402</v>
      </c>
      <c r="M15" s="394">
        <v>60</v>
      </c>
      <c r="N15" s="403"/>
      <c r="O15" s="403">
        <f>T15/F15</f>
        <v>18</v>
      </c>
      <c r="P15" s="403">
        <f>M15-O15</f>
        <v>42</v>
      </c>
      <c r="R15" s="404">
        <f>F15*M15</f>
        <v>1860000</v>
      </c>
      <c r="S15" s="405"/>
      <c r="T15" s="405">
        <f>'[8]A - 008'!$D$69</f>
        <v>558000</v>
      </c>
      <c r="U15" s="404">
        <f>R15-T15</f>
        <v>1302000</v>
      </c>
    </row>
    <row r="16" spans="1:22" ht="31.5" x14ac:dyDescent="0.25">
      <c r="A16" s="248">
        <f t="shared" si="2"/>
        <v>9</v>
      </c>
      <c r="B16" s="255" t="s">
        <v>20</v>
      </c>
      <c r="C16" s="250" t="s">
        <v>753</v>
      </c>
      <c r="D16" s="250" t="s">
        <v>929</v>
      </c>
      <c r="E16" s="382" t="s">
        <v>18</v>
      </c>
      <c r="F16" s="382">
        <v>30000</v>
      </c>
      <c r="G16" s="382">
        <f t="shared" si="3"/>
        <v>3000</v>
      </c>
      <c r="H16" s="382">
        <f t="shared" si="4"/>
        <v>27000</v>
      </c>
      <c r="I16" s="406">
        <v>43871</v>
      </c>
      <c r="J16" s="388">
        <v>43900</v>
      </c>
      <c r="K16" s="385">
        <f t="shared" si="5"/>
        <v>46914</v>
      </c>
      <c r="L16" s="385">
        <f>EDATE(K16,20)</f>
        <v>47524</v>
      </c>
      <c r="M16" s="248">
        <v>100</v>
      </c>
      <c r="N16" s="254">
        <f>+S16/F16</f>
        <v>0</v>
      </c>
      <c r="O16" s="254">
        <f>+T16/F16</f>
        <v>53</v>
      </c>
      <c r="P16" s="254">
        <f t="shared" si="6"/>
        <v>47</v>
      </c>
      <c r="R16" s="387">
        <f>+F16*M16</f>
        <v>3000000</v>
      </c>
      <c r="S16" s="387">
        <v>0</v>
      </c>
      <c r="T16" s="387">
        <f>'[9]A - 009'!$D$121</f>
        <v>1590000</v>
      </c>
      <c r="U16" s="387">
        <f t="shared" si="7"/>
        <v>1410000</v>
      </c>
    </row>
    <row r="17" spans="1:22" x14ac:dyDescent="0.25">
      <c r="A17" s="248">
        <f t="shared" si="2"/>
        <v>10</v>
      </c>
      <c r="B17" s="255" t="s">
        <v>26</v>
      </c>
      <c r="C17" s="381" t="s">
        <v>603</v>
      </c>
      <c r="D17" s="381" t="s">
        <v>929</v>
      </c>
      <c r="E17" s="382" t="s">
        <v>30</v>
      </c>
      <c r="F17" s="382">
        <v>30000</v>
      </c>
      <c r="G17" s="382">
        <f t="shared" si="3"/>
        <v>3000</v>
      </c>
      <c r="H17" s="382">
        <f t="shared" si="4"/>
        <v>27000</v>
      </c>
      <c r="I17" s="406">
        <v>42805</v>
      </c>
      <c r="J17" s="388">
        <v>42819</v>
      </c>
      <c r="K17" s="385">
        <f t="shared" si="5"/>
        <v>45833</v>
      </c>
      <c r="L17" s="385">
        <f>EDATE(K17,20)</f>
        <v>46443</v>
      </c>
      <c r="M17" s="248">
        <v>100</v>
      </c>
      <c r="N17" s="254">
        <f>+S17/F17</f>
        <v>0</v>
      </c>
      <c r="O17" s="254">
        <f>+T17/F17</f>
        <v>89</v>
      </c>
      <c r="P17" s="254">
        <f t="shared" si="6"/>
        <v>11</v>
      </c>
      <c r="R17" s="251">
        <f>+F17*M17</f>
        <v>3000000</v>
      </c>
      <c r="S17" s="251">
        <v>0</v>
      </c>
      <c r="T17" s="382">
        <f>'[10]A - 010'!$D$121</f>
        <v>2670000</v>
      </c>
      <c r="U17" s="251">
        <f t="shared" si="7"/>
        <v>330000</v>
      </c>
    </row>
    <row r="18" spans="1:22" x14ac:dyDescent="0.25">
      <c r="A18" s="248">
        <f t="shared" si="2"/>
        <v>11</v>
      </c>
      <c r="B18" s="255" t="s">
        <v>32</v>
      </c>
      <c r="C18" s="381" t="s">
        <v>604</v>
      </c>
      <c r="D18" s="381" t="s">
        <v>929</v>
      </c>
      <c r="E18" s="382" t="s">
        <v>30</v>
      </c>
      <c r="F18" s="382">
        <v>30000</v>
      </c>
      <c r="G18" s="382">
        <f t="shared" si="3"/>
        <v>3000</v>
      </c>
      <c r="H18" s="382">
        <f t="shared" si="4"/>
        <v>27000</v>
      </c>
      <c r="I18" s="406">
        <v>42805</v>
      </c>
      <c r="J18" s="388">
        <v>42819</v>
      </c>
      <c r="K18" s="385">
        <f t="shared" si="5"/>
        <v>45833</v>
      </c>
      <c r="L18" s="385">
        <f>EDATE(K18,20)</f>
        <v>46443</v>
      </c>
      <c r="M18" s="248">
        <v>100</v>
      </c>
      <c r="N18" s="407">
        <f>+S18/F18</f>
        <v>0</v>
      </c>
      <c r="O18" s="407">
        <f>+T18/F18</f>
        <v>89</v>
      </c>
      <c r="P18" s="407">
        <f t="shared" si="6"/>
        <v>11</v>
      </c>
      <c r="R18" s="382">
        <f>+F18*M18</f>
        <v>3000000</v>
      </c>
      <c r="S18" s="382">
        <v>0</v>
      </c>
      <c r="T18" s="382">
        <f>'[11]A - 011'!$D$121</f>
        <v>2670000</v>
      </c>
      <c r="U18" s="382">
        <f t="shared" si="7"/>
        <v>330000</v>
      </c>
    </row>
    <row r="19" spans="1:22" x14ac:dyDescent="0.25">
      <c r="A19" s="394">
        <f t="shared" si="2"/>
        <v>12</v>
      </c>
      <c r="B19" s="408" t="s">
        <v>37</v>
      </c>
      <c r="C19" s="33" t="s">
        <v>38</v>
      </c>
      <c r="D19" s="396" t="s">
        <v>929</v>
      </c>
      <c r="E19" s="397" t="s">
        <v>18</v>
      </c>
      <c r="F19" s="398">
        <v>28500</v>
      </c>
      <c r="G19" s="398">
        <f t="shared" si="3"/>
        <v>2850</v>
      </c>
      <c r="H19" s="398">
        <f t="shared" si="4"/>
        <v>25650</v>
      </c>
      <c r="I19" s="409">
        <v>43809</v>
      </c>
      <c r="J19" s="410">
        <v>43840</v>
      </c>
      <c r="K19" s="401">
        <f t="shared" si="5"/>
        <v>46853</v>
      </c>
      <c r="L19" s="402">
        <f>EDATE(K19,20)</f>
        <v>47462</v>
      </c>
      <c r="M19" s="411">
        <v>100</v>
      </c>
      <c r="N19" s="403">
        <f>+S19/F19</f>
        <v>0</v>
      </c>
      <c r="O19" s="403">
        <f>+T19/F19</f>
        <v>55</v>
      </c>
      <c r="P19" s="403">
        <f t="shared" si="6"/>
        <v>45</v>
      </c>
      <c r="R19" s="404">
        <f>+F19*M19</f>
        <v>2850000</v>
      </c>
      <c r="S19" s="405">
        <v>0</v>
      </c>
      <c r="T19" s="405">
        <f>'[12]A - 012'!$D$121</f>
        <v>1567500</v>
      </c>
      <c r="U19" s="404">
        <f t="shared" si="7"/>
        <v>1282500</v>
      </c>
    </row>
    <row r="20" spans="1:22" x14ac:dyDescent="0.25">
      <c r="A20" s="248">
        <f t="shared" si="2"/>
        <v>13</v>
      </c>
      <c r="B20" s="255" t="s">
        <v>825</v>
      </c>
      <c r="C20" s="381" t="s">
        <v>826</v>
      </c>
      <c r="D20" s="381" t="s">
        <v>929</v>
      </c>
      <c r="E20" s="382" t="s">
        <v>18</v>
      </c>
      <c r="F20" s="382">
        <v>31000</v>
      </c>
      <c r="G20" s="382"/>
      <c r="H20" s="382">
        <f t="shared" si="4"/>
        <v>31000</v>
      </c>
      <c r="I20" s="406">
        <v>45665</v>
      </c>
      <c r="J20" s="384" t="s">
        <v>845</v>
      </c>
      <c r="K20" s="385"/>
      <c r="L20" s="385">
        <v>47854</v>
      </c>
      <c r="M20" s="248">
        <v>72</v>
      </c>
      <c r="N20" s="254"/>
      <c r="O20" s="254">
        <f>T20/F20</f>
        <v>10</v>
      </c>
      <c r="P20" s="254">
        <f>M20-O20</f>
        <v>62</v>
      </c>
      <c r="R20" s="387">
        <f>+F20*M20</f>
        <v>2232000</v>
      </c>
      <c r="S20" s="387"/>
      <c r="T20" s="387">
        <f>'[13]A - 013'!$D$81</f>
        <v>310000</v>
      </c>
      <c r="U20" s="387">
        <f>R20-T20</f>
        <v>1922000</v>
      </c>
    </row>
    <row r="21" spans="1:22" x14ac:dyDescent="0.25">
      <c r="A21" s="248">
        <v>14</v>
      </c>
      <c r="B21" s="255" t="s">
        <v>840</v>
      </c>
      <c r="C21" s="381" t="s">
        <v>841</v>
      </c>
      <c r="D21" s="381" t="s">
        <v>929</v>
      </c>
      <c r="E21" s="382" t="s">
        <v>30</v>
      </c>
      <c r="F21" s="382">
        <v>31000</v>
      </c>
      <c r="G21" s="382"/>
      <c r="H21" s="382">
        <v>31000</v>
      </c>
      <c r="I21" s="406" t="s">
        <v>842</v>
      </c>
      <c r="J21" s="388" t="s">
        <v>843</v>
      </c>
      <c r="K21" s="385"/>
      <c r="L21" s="385" t="s">
        <v>844</v>
      </c>
      <c r="M21" s="248">
        <v>36</v>
      </c>
      <c r="N21" s="254"/>
      <c r="O21" s="254">
        <f>T21/F21</f>
        <v>8</v>
      </c>
      <c r="P21" s="254">
        <f>M21-O21</f>
        <v>28</v>
      </c>
      <c r="R21" s="387">
        <f>M21*F21</f>
        <v>1116000</v>
      </c>
      <c r="S21" s="387"/>
      <c r="T21" s="387">
        <f>'[14]A - 014'!$D$45</f>
        <v>248000</v>
      </c>
      <c r="U21" s="387">
        <f>R21-T21</f>
        <v>868000</v>
      </c>
    </row>
    <row r="22" spans="1:22" x14ac:dyDescent="0.25">
      <c r="A22" s="248">
        <v>15</v>
      </c>
      <c r="B22" s="255" t="s">
        <v>796</v>
      </c>
      <c r="C22" s="381" t="s">
        <v>797</v>
      </c>
      <c r="D22" s="381" t="s">
        <v>929</v>
      </c>
      <c r="E22" s="382" t="s">
        <v>30</v>
      </c>
      <c r="F22" s="382">
        <v>31000</v>
      </c>
      <c r="G22" s="382">
        <f t="shared" si="3"/>
        <v>3100</v>
      </c>
      <c r="H22" s="382">
        <f t="shared" si="4"/>
        <v>27900</v>
      </c>
      <c r="I22" s="406" t="s">
        <v>814</v>
      </c>
      <c r="J22" s="388" t="s">
        <v>815</v>
      </c>
      <c r="K22" s="385"/>
      <c r="L22" s="385" t="s">
        <v>816</v>
      </c>
      <c r="M22" s="248">
        <v>36</v>
      </c>
      <c r="N22" s="254"/>
      <c r="O22" s="254">
        <f>T22/F22</f>
        <v>15</v>
      </c>
      <c r="P22" s="254">
        <f>M22-O22</f>
        <v>21</v>
      </c>
      <c r="R22" s="387">
        <f>+F22*M22</f>
        <v>1116000</v>
      </c>
      <c r="S22" s="387"/>
      <c r="T22" s="387">
        <f>'[15]A - 101'!$D$45</f>
        <v>465000</v>
      </c>
      <c r="U22" s="387">
        <f>R22-T22</f>
        <v>651000</v>
      </c>
    </row>
    <row r="23" spans="1:22" x14ac:dyDescent="0.25">
      <c r="A23" s="248">
        <f t="shared" si="2"/>
        <v>16</v>
      </c>
      <c r="B23" s="255" t="s">
        <v>827</v>
      </c>
      <c r="C23" s="381" t="s">
        <v>828</v>
      </c>
      <c r="D23" s="381" t="s">
        <v>929</v>
      </c>
      <c r="E23" s="382" t="s">
        <v>30</v>
      </c>
      <c r="F23" s="382">
        <v>31000</v>
      </c>
      <c r="G23" s="382"/>
      <c r="H23" s="382">
        <v>31000</v>
      </c>
      <c r="I23" s="406" t="s">
        <v>931</v>
      </c>
      <c r="J23" s="388" t="s">
        <v>809</v>
      </c>
      <c r="K23" s="385"/>
      <c r="L23" s="385" t="s">
        <v>810</v>
      </c>
      <c r="M23" s="248">
        <v>36</v>
      </c>
      <c r="N23" s="254"/>
      <c r="O23" s="254">
        <f>T23/F23</f>
        <v>11</v>
      </c>
      <c r="P23" s="254">
        <f>M23-O23</f>
        <v>25</v>
      </c>
      <c r="R23" s="387">
        <f>+F23*M23</f>
        <v>1116000</v>
      </c>
      <c r="S23" s="387"/>
      <c r="T23" s="387">
        <f>'[16]A - 102'!$D$45</f>
        <v>341000</v>
      </c>
      <c r="U23" s="387">
        <f>R23-T23</f>
        <v>775000</v>
      </c>
    </row>
    <row r="24" spans="1:22" x14ac:dyDescent="0.25">
      <c r="A24" s="63">
        <f t="shared" si="2"/>
        <v>17</v>
      </c>
      <c r="B24" s="27" t="s">
        <v>798</v>
      </c>
      <c r="C24" s="26" t="s">
        <v>799</v>
      </c>
      <c r="D24" s="24" t="s">
        <v>929</v>
      </c>
      <c r="E24" s="30" t="s">
        <v>800</v>
      </c>
      <c r="F24" s="19">
        <v>31000</v>
      </c>
      <c r="G24" s="19">
        <f t="shared" si="3"/>
        <v>3100</v>
      </c>
      <c r="H24" s="19">
        <f t="shared" si="4"/>
        <v>27900</v>
      </c>
      <c r="I24" s="103" t="s">
        <v>817</v>
      </c>
      <c r="J24" s="412" t="s">
        <v>818</v>
      </c>
      <c r="K24" s="353"/>
      <c r="L24" s="367">
        <v>47029</v>
      </c>
      <c r="M24" s="28">
        <v>36</v>
      </c>
      <c r="N24" s="391"/>
      <c r="O24" s="391">
        <f>T24/F24</f>
        <v>14</v>
      </c>
      <c r="P24" s="391">
        <f>M24-O24</f>
        <v>22</v>
      </c>
      <c r="R24" s="102">
        <f>+F24*M24</f>
        <v>1116000</v>
      </c>
      <c r="S24" s="392"/>
      <c r="T24" s="392">
        <f>'[17]A - 103'!$D$45</f>
        <v>434000</v>
      </c>
      <c r="U24" s="102">
        <f>R24-T24</f>
        <v>682000</v>
      </c>
    </row>
    <row r="25" spans="1:22" x14ac:dyDescent="0.25">
      <c r="A25" s="63">
        <f t="shared" si="2"/>
        <v>18</v>
      </c>
      <c r="B25" s="27" t="s">
        <v>43</v>
      </c>
      <c r="C25" s="26" t="s">
        <v>605</v>
      </c>
      <c r="D25" s="24" t="s">
        <v>929</v>
      </c>
      <c r="E25" s="30" t="s">
        <v>18</v>
      </c>
      <c r="F25" s="19">
        <v>30000</v>
      </c>
      <c r="G25" s="19">
        <f t="shared" si="3"/>
        <v>3000</v>
      </c>
      <c r="H25" s="19">
        <f t="shared" si="4"/>
        <v>27000</v>
      </c>
      <c r="I25" s="103">
        <v>43878</v>
      </c>
      <c r="J25" s="339">
        <v>43900</v>
      </c>
      <c r="K25" s="353">
        <f t="shared" si="5"/>
        <v>46914</v>
      </c>
      <c r="L25" s="367">
        <f>EDATE(K25,20)</f>
        <v>47524</v>
      </c>
      <c r="M25" s="28">
        <v>100</v>
      </c>
      <c r="N25" s="391">
        <f>+S25/F25</f>
        <v>0</v>
      </c>
      <c r="O25" s="391">
        <f>+T25/F25</f>
        <v>54.5</v>
      </c>
      <c r="P25" s="391">
        <f t="shared" si="6"/>
        <v>45.5</v>
      </c>
      <c r="R25" s="102">
        <f>+F25*M25</f>
        <v>3000000</v>
      </c>
      <c r="S25" s="392">
        <v>0</v>
      </c>
      <c r="T25" s="392">
        <f>'[18]A - 104'!$D$121</f>
        <v>1635000</v>
      </c>
      <c r="U25" s="102">
        <f t="shared" si="7"/>
        <v>1365000</v>
      </c>
    </row>
    <row r="26" spans="1:22" s="78" customFormat="1" x14ac:dyDescent="0.25">
      <c r="A26" s="208">
        <v>19</v>
      </c>
      <c r="B26" s="209" t="s">
        <v>48</v>
      </c>
      <c r="C26" s="86" t="s">
        <v>606</v>
      </c>
      <c r="D26" s="368" t="s">
        <v>929</v>
      </c>
      <c r="E26" s="210" t="s">
        <v>18</v>
      </c>
      <c r="F26" s="211">
        <v>16000</v>
      </c>
      <c r="G26" s="211">
        <f t="shared" si="3"/>
        <v>1600</v>
      </c>
      <c r="H26" s="211">
        <f t="shared" si="4"/>
        <v>14400</v>
      </c>
      <c r="I26" s="212">
        <v>41711</v>
      </c>
      <c r="J26" s="326">
        <v>41739</v>
      </c>
      <c r="K26" s="345">
        <f t="shared" si="5"/>
        <v>44752</v>
      </c>
      <c r="L26" s="359">
        <f>EDATE(K26,20)</f>
        <v>45361</v>
      </c>
      <c r="M26" s="213">
        <v>100</v>
      </c>
      <c r="N26" s="214">
        <f>+S26/F26</f>
        <v>0</v>
      </c>
      <c r="O26" s="214">
        <v>100</v>
      </c>
      <c r="P26" s="214">
        <v>0</v>
      </c>
      <c r="Q26" s="80"/>
      <c r="R26" s="215">
        <f>+F26*M26</f>
        <v>1600000</v>
      </c>
      <c r="S26" s="216">
        <v>0</v>
      </c>
      <c r="T26" s="216">
        <v>1600000</v>
      </c>
      <c r="U26" s="215"/>
    </row>
    <row r="27" spans="1:22" s="162" customFormat="1" ht="31.5" x14ac:dyDescent="0.25">
      <c r="A27" s="413"/>
      <c r="B27" s="414" t="s">
        <v>864</v>
      </c>
      <c r="C27" s="415" t="s">
        <v>865</v>
      </c>
      <c r="D27" s="415" t="s">
        <v>929</v>
      </c>
      <c r="E27" s="416" t="s">
        <v>860</v>
      </c>
      <c r="F27" s="416">
        <v>31000</v>
      </c>
      <c r="G27" s="416"/>
      <c r="H27" s="416">
        <v>31000</v>
      </c>
      <c r="I27" s="417" t="s">
        <v>866</v>
      </c>
      <c r="J27" s="418" t="s">
        <v>867</v>
      </c>
      <c r="K27" s="419"/>
      <c r="L27" s="419" t="s">
        <v>868</v>
      </c>
      <c r="M27" s="413">
        <v>48</v>
      </c>
      <c r="N27" s="420"/>
      <c r="O27" s="420">
        <f>T27/F27</f>
        <v>7</v>
      </c>
      <c r="P27" s="420">
        <f>M27-O27</f>
        <v>41</v>
      </c>
      <c r="Q27" s="164"/>
      <c r="R27" s="421">
        <f>M27*F27</f>
        <v>1488000</v>
      </c>
      <c r="S27" s="421"/>
      <c r="T27" s="421">
        <f>'[19]A - 105'!$D$57</f>
        <v>217000</v>
      </c>
      <c r="U27" s="421">
        <f>R27-T27</f>
        <v>1271000</v>
      </c>
      <c r="V27" s="162" t="s">
        <v>863</v>
      </c>
    </row>
    <row r="28" spans="1:22" s="78" customFormat="1" x14ac:dyDescent="0.25">
      <c r="A28" s="63">
        <v>20</v>
      </c>
      <c r="B28" s="31" t="s">
        <v>775</v>
      </c>
      <c r="C28" s="46" t="s">
        <v>776</v>
      </c>
      <c r="D28" s="59" t="s">
        <v>929</v>
      </c>
      <c r="E28" s="30" t="s">
        <v>18</v>
      </c>
      <c r="F28" s="19">
        <v>31000</v>
      </c>
      <c r="G28" s="19">
        <f t="shared" si="3"/>
        <v>3100</v>
      </c>
      <c r="H28" s="19">
        <f t="shared" si="4"/>
        <v>27900</v>
      </c>
      <c r="I28" s="103"/>
      <c r="J28" s="339">
        <v>45575</v>
      </c>
      <c r="K28" s="353">
        <f>DATE(YEAR(J28),MONTH(J28)+47,DAY(J28))</f>
        <v>47006</v>
      </c>
      <c r="L28" s="367">
        <f>K28</f>
        <v>47006</v>
      </c>
      <c r="M28" s="28">
        <v>48</v>
      </c>
      <c r="N28" s="391"/>
      <c r="O28" s="391">
        <v>4</v>
      </c>
      <c r="P28" s="391">
        <f>M28-O28</f>
        <v>44</v>
      </c>
      <c r="Q28" s="2"/>
      <c r="R28" s="102">
        <v>1488000</v>
      </c>
      <c r="S28" s="392"/>
      <c r="T28" s="392">
        <f>'[20]A - 106'!$D$57</f>
        <v>620000</v>
      </c>
      <c r="U28" s="102">
        <f t="shared" ref="U28:U34" si="8">R28-T28</f>
        <v>868000</v>
      </c>
    </row>
    <row r="29" spans="1:22" s="78" customFormat="1" x14ac:dyDescent="0.25">
      <c r="A29" s="63">
        <f t="shared" si="2"/>
        <v>21</v>
      </c>
      <c r="B29" s="31" t="s">
        <v>768</v>
      </c>
      <c r="C29" s="46" t="s">
        <v>769</v>
      </c>
      <c r="D29" s="59" t="s">
        <v>929</v>
      </c>
      <c r="E29" s="30" t="s">
        <v>18</v>
      </c>
      <c r="F29" s="19">
        <v>33000</v>
      </c>
      <c r="G29" s="19">
        <f t="shared" si="3"/>
        <v>3300</v>
      </c>
      <c r="H29" s="19">
        <f t="shared" si="4"/>
        <v>29700</v>
      </c>
      <c r="I29" s="422" t="s">
        <v>770</v>
      </c>
      <c r="J29" s="339">
        <v>45208</v>
      </c>
      <c r="K29" s="353">
        <v>46670</v>
      </c>
      <c r="L29" s="367">
        <v>46670</v>
      </c>
      <c r="M29" s="28">
        <v>50</v>
      </c>
      <c r="N29" s="391"/>
      <c r="O29" s="391">
        <v>15</v>
      </c>
      <c r="P29" s="391">
        <f>M29-O29</f>
        <v>35</v>
      </c>
      <c r="Q29" s="2"/>
      <c r="R29" s="102">
        <f>+F29*M29</f>
        <v>1650000</v>
      </c>
      <c r="S29" s="392"/>
      <c r="T29" s="392">
        <f>'[21]A - 107'!$D$59</f>
        <v>1089000</v>
      </c>
      <c r="U29" s="102">
        <f t="shared" si="8"/>
        <v>561000</v>
      </c>
    </row>
    <row r="30" spans="1:22" s="78" customFormat="1" ht="31.5" x14ac:dyDescent="0.25">
      <c r="A30" s="63">
        <f t="shared" si="2"/>
        <v>22</v>
      </c>
      <c r="B30" s="31" t="s">
        <v>757</v>
      </c>
      <c r="C30" s="46" t="s">
        <v>773</v>
      </c>
      <c r="D30" s="59" t="s">
        <v>929</v>
      </c>
      <c r="E30" s="30" t="s">
        <v>18</v>
      </c>
      <c r="F30" s="19">
        <v>30000</v>
      </c>
      <c r="G30" s="19">
        <f t="shared" si="3"/>
        <v>3000</v>
      </c>
      <c r="H30" s="19">
        <f t="shared" si="4"/>
        <v>27000</v>
      </c>
      <c r="I30" s="103"/>
      <c r="J30" s="339">
        <v>44842</v>
      </c>
      <c r="K30" s="353">
        <v>47767</v>
      </c>
      <c r="L30" s="367">
        <v>47767</v>
      </c>
      <c r="M30" s="28">
        <v>100</v>
      </c>
      <c r="N30" s="391"/>
      <c r="O30" s="391">
        <f>+T30/F30</f>
        <v>45</v>
      </c>
      <c r="P30" s="391">
        <f>+M30-N30-O30</f>
        <v>55</v>
      </c>
      <c r="Q30" s="2"/>
      <c r="R30" s="102">
        <f>+F30*M30</f>
        <v>3000000</v>
      </c>
      <c r="S30" s="392"/>
      <c r="T30" s="392">
        <f>'[22]A - 108'!$D$109</f>
        <v>1350000</v>
      </c>
      <c r="U30" s="102">
        <f t="shared" si="8"/>
        <v>1650000</v>
      </c>
    </row>
    <row r="31" spans="1:22" s="78" customFormat="1" x14ac:dyDescent="0.25">
      <c r="A31" s="63">
        <f t="shared" si="2"/>
        <v>23</v>
      </c>
      <c r="B31" s="31" t="s">
        <v>777</v>
      </c>
      <c r="C31" s="46" t="s">
        <v>776</v>
      </c>
      <c r="D31" s="59" t="s">
        <v>929</v>
      </c>
      <c r="E31" s="30" t="s">
        <v>18</v>
      </c>
      <c r="F31" s="19">
        <v>31000</v>
      </c>
      <c r="G31" s="19">
        <v>3100</v>
      </c>
      <c r="H31" s="19">
        <v>27900</v>
      </c>
      <c r="I31" s="28"/>
      <c r="J31" s="339">
        <v>45575</v>
      </c>
      <c r="K31" s="353">
        <f>DATE(YEAR(J31),MONTH(J31)+47,DAY(J31))</f>
        <v>47006</v>
      </c>
      <c r="L31" s="367">
        <f>K31</f>
        <v>47006</v>
      </c>
      <c r="M31" s="28">
        <v>48</v>
      </c>
      <c r="N31" s="391"/>
      <c r="O31" s="391">
        <v>4</v>
      </c>
      <c r="P31" s="391">
        <v>46</v>
      </c>
      <c r="Q31" s="102">
        <v>1488000</v>
      </c>
      <c r="R31" s="102">
        <v>1488000</v>
      </c>
      <c r="S31" s="392"/>
      <c r="T31" s="392">
        <f>'[23]A - 109'!$D$57</f>
        <v>620000</v>
      </c>
      <c r="U31" s="102">
        <f>R31-T31</f>
        <v>868000</v>
      </c>
    </row>
    <row r="32" spans="1:22" s="78" customFormat="1" x14ac:dyDescent="0.25">
      <c r="A32" s="63">
        <f t="shared" si="2"/>
        <v>24</v>
      </c>
      <c r="B32" s="31" t="s">
        <v>771</v>
      </c>
      <c r="C32" s="46" t="s">
        <v>772</v>
      </c>
      <c r="D32" s="59" t="s">
        <v>929</v>
      </c>
      <c r="E32" s="30" t="s">
        <v>18</v>
      </c>
      <c r="F32" s="19">
        <v>24000</v>
      </c>
      <c r="G32" s="19">
        <f t="shared" si="3"/>
        <v>2400</v>
      </c>
      <c r="H32" s="19">
        <f t="shared" si="4"/>
        <v>21600</v>
      </c>
      <c r="I32" s="103"/>
      <c r="J32" s="339"/>
      <c r="K32" s="353"/>
      <c r="L32" s="367"/>
      <c r="M32" s="28">
        <v>50</v>
      </c>
      <c r="N32" s="391"/>
      <c r="O32" s="391">
        <f>+T32/F32</f>
        <v>29</v>
      </c>
      <c r="P32" s="391">
        <f>+M32-N32-O32</f>
        <v>21</v>
      </c>
      <c r="Q32" s="2"/>
      <c r="R32" s="102">
        <f>+F32*M32</f>
        <v>1200000</v>
      </c>
      <c r="S32" s="392"/>
      <c r="T32" s="392">
        <f>'[24]A - 110'!$D$59</f>
        <v>696000</v>
      </c>
      <c r="U32" s="102">
        <f t="shared" si="8"/>
        <v>504000</v>
      </c>
    </row>
    <row r="33" spans="1:22" s="78" customFormat="1" x14ac:dyDescent="0.25">
      <c r="A33" s="217">
        <v>25</v>
      </c>
      <c r="B33" s="218" t="s">
        <v>885</v>
      </c>
      <c r="C33" s="163" t="s">
        <v>886</v>
      </c>
      <c r="D33" s="370" t="s">
        <v>929</v>
      </c>
      <c r="E33" s="219" t="s">
        <v>18</v>
      </c>
      <c r="F33" s="220">
        <v>31000</v>
      </c>
      <c r="G33" s="220"/>
      <c r="H33" s="220">
        <f t="shared" si="4"/>
        <v>31000</v>
      </c>
      <c r="I33" s="221" t="s">
        <v>845</v>
      </c>
      <c r="J33" s="327">
        <v>45939</v>
      </c>
      <c r="K33" s="346"/>
      <c r="L33" s="360" t="s">
        <v>887</v>
      </c>
      <c r="M33" s="222">
        <v>36</v>
      </c>
      <c r="N33" s="223"/>
      <c r="O33" s="223">
        <f>T33/F33</f>
        <v>9</v>
      </c>
      <c r="P33" s="223">
        <f>M33-O33</f>
        <v>27</v>
      </c>
      <c r="Q33" s="164"/>
      <c r="R33" s="224">
        <f>F33*M33</f>
        <v>1116000</v>
      </c>
      <c r="S33" s="225"/>
      <c r="T33" s="225">
        <f>'[25]A - 111'!$D$45</f>
        <v>279000</v>
      </c>
      <c r="U33" s="224">
        <f>R33-T33</f>
        <v>837000</v>
      </c>
      <c r="V33" s="78" t="s">
        <v>863</v>
      </c>
    </row>
    <row r="34" spans="1:22" x14ac:dyDescent="0.25">
      <c r="A34" s="301">
        <v>26</v>
      </c>
      <c r="B34" s="255" t="s">
        <v>758</v>
      </c>
      <c r="C34" s="381" t="s">
        <v>759</v>
      </c>
      <c r="D34" s="381" t="s">
        <v>929</v>
      </c>
      <c r="E34" s="382" t="s">
        <v>30</v>
      </c>
      <c r="F34" s="382">
        <v>33000</v>
      </c>
      <c r="G34" s="382">
        <f t="shared" si="3"/>
        <v>3300</v>
      </c>
      <c r="H34" s="382">
        <f t="shared" si="4"/>
        <v>29700</v>
      </c>
      <c r="I34" s="406"/>
      <c r="J34" s="388" t="s">
        <v>760</v>
      </c>
      <c r="K34" s="385" t="s">
        <v>761</v>
      </c>
      <c r="L34" s="385" t="s">
        <v>761</v>
      </c>
      <c r="M34" s="248">
        <v>50</v>
      </c>
      <c r="N34" s="407"/>
      <c r="O34" s="407">
        <f>+T34/F34</f>
        <v>37</v>
      </c>
      <c r="P34" s="407">
        <f>+M34-N34-O34</f>
        <v>13</v>
      </c>
      <c r="R34" s="382">
        <f>+F34*M34</f>
        <v>1650000</v>
      </c>
      <c r="S34" s="382"/>
      <c r="T34" s="382">
        <f>'[26]A - 112'!$D$59</f>
        <v>1221000</v>
      </c>
      <c r="U34" s="382">
        <f t="shared" si="8"/>
        <v>429000</v>
      </c>
    </row>
    <row r="35" spans="1:22" x14ac:dyDescent="0.25">
      <c r="A35" s="63">
        <v>27</v>
      </c>
      <c r="B35" s="27" t="s">
        <v>829</v>
      </c>
      <c r="C35" s="26" t="s">
        <v>830</v>
      </c>
      <c r="D35" s="24" t="s">
        <v>929</v>
      </c>
      <c r="E35" s="30" t="s">
        <v>18</v>
      </c>
      <c r="F35" s="19">
        <v>31000</v>
      </c>
      <c r="G35" s="19"/>
      <c r="H35" s="19">
        <f t="shared" ref="H35:H36" si="9">+F35-G35:G35</f>
        <v>31000</v>
      </c>
      <c r="I35" s="422" t="s">
        <v>845</v>
      </c>
      <c r="J35" s="412" t="s">
        <v>845</v>
      </c>
      <c r="K35" s="353"/>
      <c r="L35" s="367">
        <v>47854</v>
      </c>
      <c r="M35" s="28">
        <v>72</v>
      </c>
      <c r="N35" s="423"/>
      <c r="O35" s="423">
        <f>T35/F35</f>
        <v>9</v>
      </c>
      <c r="P35" s="423">
        <f>M35-O35</f>
        <v>63</v>
      </c>
      <c r="R35" s="30">
        <v>2016000</v>
      </c>
      <c r="S35" s="19"/>
      <c r="T35" s="19">
        <f>'[27]A - 113'!$D$81</f>
        <v>279000</v>
      </c>
      <c r="U35" s="30">
        <f>R35-T35</f>
        <v>1737000</v>
      </c>
    </row>
    <row r="36" spans="1:22" ht="31.5" x14ac:dyDescent="0.25">
      <c r="A36" s="63">
        <v>28</v>
      </c>
      <c r="B36" s="27" t="s">
        <v>821</v>
      </c>
      <c r="C36" s="26" t="s">
        <v>803</v>
      </c>
      <c r="D36" s="24" t="s">
        <v>929</v>
      </c>
      <c r="E36" s="30" t="s">
        <v>18</v>
      </c>
      <c r="F36" s="19">
        <v>31000</v>
      </c>
      <c r="G36" s="19"/>
      <c r="H36" s="19">
        <f t="shared" si="9"/>
        <v>31000</v>
      </c>
      <c r="I36" s="422" t="s">
        <v>806</v>
      </c>
      <c r="J36" s="412" t="s">
        <v>819</v>
      </c>
      <c r="K36" s="353"/>
      <c r="L36" s="424" t="s">
        <v>820</v>
      </c>
      <c r="M36" s="28">
        <v>36</v>
      </c>
      <c r="N36" s="391"/>
      <c r="O36" s="391">
        <f>T36/F36</f>
        <v>13</v>
      </c>
      <c r="P36" s="391">
        <f>M36-O36</f>
        <v>23</v>
      </c>
      <c r="R36" s="102">
        <f>+F36*M36</f>
        <v>1116000</v>
      </c>
      <c r="S36" s="392"/>
      <c r="T36" s="392">
        <f>'[28]A - 114'!$D$45</f>
        <v>403000</v>
      </c>
      <c r="U36" s="102">
        <f>R36-T36</f>
        <v>713000</v>
      </c>
    </row>
    <row r="37" spans="1:22" s="80" customFormat="1" x14ac:dyDescent="0.25">
      <c r="A37" s="208">
        <v>29</v>
      </c>
      <c r="B37" s="209" t="s">
        <v>52</v>
      </c>
      <c r="C37" s="86" t="s">
        <v>607</v>
      </c>
      <c r="D37" s="368" t="s">
        <v>929</v>
      </c>
      <c r="E37" s="210" t="s">
        <v>18</v>
      </c>
      <c r="F37" s="211">
        <v>16000</v>
      </c>
      <c r="G37" s="211">
        <f t="shared" si="3"/>
        <v>1600</v>
      </c>
      <c r="H37" s="211">
        <f t="shared" si="4"/>
        <v>14400</v>
      </c>
      <c r="I37" s="212">
        <v>41787</v>
      </c>
      <c r="J37" s="326">
        <v>41800</v>
      </c>
      <c r="K37" s="345">
        <f t="shared" si="5"/>
        <v>44814</v>
      </c>
      <c r="L37" s="359">
        <f>EDATE(K37,20)</f>
        <v>45422</v>
      </c>
      <c r="M37" s="213">
        <v>100</v>
      </c>
      <c r="N37" s="214">
        <f>+S37/F37</f>
        <v>0</v>
      </c>
      <c r="O37" s="214">
        <v>100</v>
      </c>
      <c r="P37" s="214">
        <f t="shared" si="6"/>
        <v>0</v>
      </c>
      <c r="R37" s="215">
        <f>+F37*M37</f>
        <v>1600000</v>
      </c>
      <c r="S37" s="216">
        <v>0</v>
      </c>
      <c r="T37" s="216">
        <f>'[29]A - 201'!$D$123</f>
        <v>1600000</v>
      </c>
      <c r="U37" s="215">
        <f t="shared" si="7"/>
        <v>0</v>
      </c>
      <c r="V37" s="80" t="s">
        <v>932</v>
      </c>
    </row>
    <row r="38" spans="1:22" x14ac:dyDescent="0.25">
      <c r="A38" s="301">
        <v>30</v>
      </c>
      <c r="B38" s="249" t="s">
        <v>846</v>
      </c>
      <c r="C38" s="250" t="s">
        <v>847</v>
      </c>
      <c r="D38" s="250" t="s">
        <v>929</v>
      </c>
      <c r="E38" s="382" t="s">
        <v>30</v>
      </c>
      <c r="F38" s="382">
        <v>31000</v>
      </c>
      <c r="G38" s="382"/>
      <c r="H38" s="382">
        <v>31000</v>
      </c>
      <c r="I38" s="406" t="s">
        <v>848</v>
      </c>
      <c r="J38" s="388" t="s">
        <v>849</v>
      </c>
      <c r="K38" s="385"/>
      <c r="L38" s="385" t="s">
        <v>850</v>
      </c>
      <c r="M38" s="248">
        <v>36</v>
      </c>
      <c r="N38" s="254"/>
      <c r="O38" s="254">
        <f>T38/F38</f>
        <v>5</v>
      </c>
      <c r="P38" s="254">
        <f>M38-O38</f>
        <v>31</v>
      </c>
      <c r="R38" s="387">
        <f>F38*M38</f>
        <v>1116000</v>
      </c>
      <c r="S38" s="387"/>
      <c r="T38" s="387">
        <f>'[30]A - 202'!$D$45</f>
        <v>155000</v>
      </c>
      <c r="U38" s="387">
        <f>R38-T38</f>
        <v>961000</v>
      </c>
    </row>
    <row r="39" spans="1:22" s="78" customFormat="1" x14ac:dyDescent="0.25">
      <c r="A39" s="155">
        <v>31</v>
      </c>
      <c r="B39" s="96" t="s">
        <v>57</v>
      </c>
      <c r="C39" s="94" t="s">
        <v>608</v>
      </c>
      <c r="D39" s="371" t="s">
        <v>929</v>
      </c>
      <c r="E39" s="87" t="s">
        <v>18</v>
      </c>
      <c r="F39" s="88">
        <v>16000</v>
      </c>
      <c r="G39" s="88">
        <f t="shared" si="3"/>
        <v>1600</v>
      </c>
      <c r="H39" s="88">
        <f t="shared" si="4"/>
        <v>14400</v>
      </c>
      <c r="I39" s="89">
        <v>41744</v>
      </c>
      <c r="J39" s="328">
        <v>41769</v>
      </c>
      <c r="K39" s="347">
        <f t="shared" si="5"/>
        <v>44783</v>
      </c>
      <c r="L39" s="361">
        <f>EDATE(K39,20)</f>
        <v>45392</v>
      </c>
      <c r="M39" s="90">
        <v>100</v>
      </c>
      <c r="N39" s="91">
        <f>+S39/F39</f>
        <v>0</v>
      </c>
      <c r="O39" s="91">
        <v>100</v>
      </c>
      <c r="P39" s="91">
        <f t="shared" si="6"/>
        <v>0</v>
      </c>
      <c r="Q39" s="80"/>
      <c r="R39" s="92">
        <f>+F39*M39</f>
        <v>1600000</v>
      </c>
      <c r="S39" s="93">
        <v>0</v>
      </c>
      <c r="T39" s="93">
        <f>'[31]A - 203'!$D$123</f>
        <v>1568000</v>
      </c>
      <c r="U39" s="92">
        <v>0</v>
      </c>
    </row>
    <row r="40" spans="1:22" x14ac:dyDescent="0.25">
      <c r="A40" s="425"/>
      <c r="B40" s="426" t="s">
        <v>934</v>
      </c>
      <c r="C40" s="427" t="s">
        <v>935</v>
      </c>
      <c r="D40" s="428" t="s">
        <v>929</v>
      </c>
      <c r="E40" s="429" t="s">
        <v>30</v>
      </c>
      <c r="F40" s="430">
        <v>31000</v>
      </c>
      <c r="G40" s="430"/>
      <c r="H40" s="430"/>
      <c r="I40" s="431" t="s">
        <v>936</v>
      </c>
      <c r="J40" s="432" t="s">
        <v>937</v>
      </c>
      <c r="K40" s="433"/>
      <c r="L40" s="434" t="s">
        <v>938</v>
      </c>
      <c r="M40" s="435">
        <v>36</v>
      </c>
      <c r="N40" s="436"/>
      <c r="O40" s="436">
        <f>T40/F40</f>
        <v>2</v>
      </c>
      <c r="P40" s="436">
        <f>M40-O40</f>
        <v>34</v>
      </c>
      <c r="Q40" s="162"/>
      <c r="R40" s="437">
        <f>F40*M40</f>
        <v>1116000</v>
      </c>
      <c r="S40" s="438"/>
      <c r="T40" s="438">
        <v>62000</v>
      </c>
      <c r="U40" s="437">
        <f>R40-T40</f>
        <v>1054000</v>
      </c>
    </row>
    <row r="41" spans="1:22" s="80" customFormat="1" x14ac:dyDescent="0.25">
      <c r="A41" s="146">
        <v>32</v>
      </c>
      <c r="B41" s="81" t="s">
        <v>61</v>
      </c>
      <c r="C41" s="82" t="s">
        <v>609</v>
      </c>
      <c r="D41" s="372" t="s">
        <v>929</v>
      </c>
      <c r="E41" s="148" t="s">
        <v>18</v>
      </c>
      <c r="F41" s="149">
        <v>16000</v>
      </c>
      <c r="G41" s="149">
        <f t="shared" si="3"/>
        <v>1600</v>
      </c>
      <c r="H41" s="149">
        <f t="shared" si="4"/>
        <v>14400</v>
      </c>
      <c r="I41" s="166">
        <v>41880</v>
      </c>
      <c r="J41" s="329">
        <v>41892</v>
      </c>
      <c r="K41" s="348">
        <f t="shared" si="5"/>
        <v>44905</v>
      </c>
      <c r="L41" s="362">
        <f>EDATE(K41,20)</f>
        <v>45514</v>
      </c>
      <c r="M41" s="150">
        <v>100</v>
      </c>
      <c r="N41" s="151">
        <f>+S41/F41</f>
        <v>0</v>
      </c>
      <c r="O41" s="151">
        <v>100</v>
      </c>
      <c r="P41" s="151">
        <v>0</v>
      </c>
      <c r="Q41" s="147"/>
      <c r="R41" s="152">
        <f>+F41*M41</f>
        <v>1600000</v>
      </c>
      <c r="S41" s="153">
        <v>0</v>
      </c>
      <c r="T41" s="153">
        <v>1600000</v>
      </c>
      <c r="U41" s="152">
        <v>0</v>
      </c>
    </row>
    <row r="42" spans="1:22" s="80" customFormat="1" x14ac:dyDescent="0.25">
      <c r="A42" s="146"/>
      <c r="B42" s="81" t="s">
        <v>61</v>
      </c>
      <c r="C42" s="82" t="s">
        <v>609</v>
      </c>
      <c r="D42" s="372" t="s">
        <v>929</v>
      </c>
      <c r="E42" s="148" t="s">
        <v>18</v>
      </c>
      <c r="F42" s="149">
        <v>9000</v>
      </c>
      <c r="G42" s="149"/>
      <c r="H42" s="149"/>
      <c r="I42" s="166"/>
      <c r="J42" s="329"/>
      <c r="K42" s="348"/>
      <c r="L42" s="362"/>
      <c r="M42" s="150">
        <v>11</v>
      </c>
      <c r="N42" s="151"/>
      <c r="O42" s="151"/>
      <c r="P42" s="151"/>
      <c r="Q42" s="147"/>
      <c r="R42" s="152"/>
      <c r="S42" s="153"/>
      <c r="T42" s="153"/>
      <c r="U42" s="152"/>
      <c r="V42" s="80" t="s">
        <v>939</v>
      </c>
    </row>
    <row r="43" spans="1:22" s="78" customFormat="1" x14ac:dyDescent="0.25">
      <c r="A43" s="155">
        <v>33</v>
      </c>
      <c r="B43" s="96" t="s">
        <v>66</v>
      </c>
      <c r="C43" s="99" t="s">
        <v>610</v>
      </c>
      <c r="D43" s="373" t="s">
        <v>929</v>
      </c>
      <c r="E43" s="87" t="s">
        <v>18</v>
      </c>
      <c r="F43" s="88">
        <v>16000</v>
      </c>
      <c r="G43" s="88">
        <f t="shared" si="3"/>
        <v>1600</v>
      </c>
      <c r="H43" s="88">
        <f t="shared" si="4"/>
        <v>14400</v>
      </c>
      <c r="I43" s="89">
        <v>41657</v>
      </c>
      <c r="J43" s="328">
        <v>41680</v>
      </c>
      <c r="K43" s="347">
        <f t="shared" si="5"/>
        <v>44691</v>
      </c>
      <c r="L43" s="361">
        <f>EDATE(K43,20)</f>
        <v>45301</v>
      </c>
      <c r="M43" s="90">
        <v>100</v>
      </c>
      <c r="N43" s="91">
        <f>+S43/F43</f>
        <v>0</v>
      </c>
      <c r="O43" s="91">
        <f>+T43/F43</f>
        <v>100</v>
      </c>
      <c r="P43" s="91">
        <f t="shared" si="6"/>
        <v>0</v>
      </c>
      <c r="Q43" s="2"/>
      <c r="R43" s="92">
        <f>+F43*M43</f>
        <v>1600000</v>
      </c>
      <c r="S43" s="93">
        <v>0</v>
      </c>
      <c r="T43" s="93">
        <v>1600000</v>
      </c>
      <c r="U43" s="92">
        <f t="shared" si="7"/>
        <v>0</v>
      </c>
    </row>
    <row r="44" spans="1:22" s="164" customFormat="1" x14ac:dyDescent="0.25">
      <c r="A44" s="425" t="s">
        <v>754</v>
      </c>
      <c r="B44" s="426" t="s">
        <v>66</v>
      </c>
      <c r="C44" s="161" t="s">
        <v>662</v>
      </c>
      <c r="D44" s="377" t="s">
        <v>929</v>
      </c>
      <c r="E44" s="429" t="s">
        <v>888</v>
      </c>
      <c r="F44" s="430">
        <v>31000</v>
      </c>
      <c r="G44" s="430"/>
      <c r="H44" s="430">
        <v>31000</v>
      </c>
      <c r="I44" s="439" t="s">
        <v>889</v>
      </c>
      <c r="J44" s="432">
        <v>45936</v>
      </c>
      <c r="K44" s="433"/>
      <c r="L44" s="434">
        <v>47031</v>
      </c>
      <c r="M44" s="435">
        <v>36</v>
      </c>
      <c r="N44" s="436"/>
      <c r="O44" s="436">
        <f>T44/F44</f>
        <v>12</v>
      </c>
      <c r="P44" s="436">
        <f>M44-O44</f>
        <v>24</v>
      </c>
      <c r="Q44" s="162"/>
      <c r="R44" s="437">
        <f>F44*M44</f>
        <v>1116000</v>
      </c>
      <c r="S44" s="438"/>
      <c r="T44" s="438">
        <f>'[32]A - 205'!$D$45</f>
        <v>372000</v>
      </c>
      <c r="U44" s="437">
        <f>R44-T44</f>
        <v>744000</v>
      </c>
    </row>
    <row r="45" spans="1:22" s="78" customFormat="1" ht="31.5" x14ac:dyDescent="0.25">
      <c r="A45" s="155">
        <v>34</v>
      </c>
      <c r="B45" s="96" t="s">
        <v>71</v>
      </c>
      <c r="C45" s="99" t="s">
        <v>710</v>
      </c>
      <c r="D45" s="373" t="s">
        <v>929</v>
      </c>
      <c r="E45" s="87" t="s">
        <v>18</v>
      </c>
      <c r="F45" s="88">
        <v>22000</v>
      </c>
      <c r="G45" s="88">
        <f t="shared" si="3"/>
        <v>2200</v>
      </c>
      <c r="H45" s="88">
        <f t="shared" si="4"/>
        <v>19800</v>
      </c>
      <c r="I45" s="89">
        <v>42128</v>
      </c>
      <c r="J45" s="328">
        <v>42165</v>
      </c>
      <c r="K45" s="347">
        <f t="shared" si="5"/>
        <v>45179</v>
      </c>
      <c r="L45" s="361">
        <f>EDATE(K45,20)</f>
        <v>45787</v>
      </c>
      <c r="M45" s="90">
        <v>100</v>
      </c>
      <c r="N45" s="91">
        <v>7</v>
      </c>
      <c r="O45" s="91">
        <f>+T45/F45</f>
        <v>93</v>
      </c>
      <c r="P45" s="91">
        <f t="shared" si="6"/>
        <v>0</v>
      </c>
      <c r="Q45" s="80"/>
      <c r="R45" s="92">
        <v>2151000</v>
      </c>
      <c r="S45" s="93">
        <f>SUM('[33]A - 206'!$D$9:$D$15)</f>
        <v>105000</v>
      </c>
      <c r="T45" s="93">
        <f>SUM('[34]A - 206'!$D$16:$D$122)</f>
        <v>2046000</v>
      </c>
      <c r="U45" s="92">
        <f t="shared" si="7"/>
        <v>0</v>
      </c>
    </row>
    <row r="46" spans="1:22" s="162" customFormat="1" x14ac:dyDescent="0.25">
      <c r="A46" s="425"/>
      <c r="B46" s="426" t="s">
        <v>940</v>
      </c>
      <c r="C46" s="161" t="s">
        <v>941</v>
      </c>
      <c r="D46" s="377" t="s">
        <v>929</v>
      </c>
      <c r="E46" s="429" t="s">
        <v>30</v>
      </c>
      <c r="F46" s="430">
        <v>31000</v>
      </c>
      <c r="G46" s="430"/>
      <c r="H46" s="430"/>
      <c r="I46" s="431" t="s">
        <v>942</v>
      </c>
      <c r="J46" s="432" t="s">
        <v>943</v>
      </c>
      <c r="K46" s="433"/>
      <c r="L46" s="434" t="s">
        <v>944</v>
      </c>
      <c r="M46" s="435">
        <v>36</v>
      </c>
      <c r="N46" s="436"/>
      <c r="O46" s="436"/>
      <c r="P46" s="436"/>
      <c r="R46" s="437">
        <f>M46*F46</f>
        <v>1116000</v>
      </c>
      <c r="S46" s="438"/>
      <c r="T46" s="438"/>
      <c r="U46" s="437"/>
    </row>
    <row r="47" spans="1:22" s="78" customFormat="1" x14ac:dyDescent="0.25">
      <c r="A47" s="63">
        <v>35</v>
      </c>
      <c r="B47" s="31" t="s">
        <v>74</v>
      </c>
      <c r="C47" s="33" t="s">
        <v>611</v>
      </c>
      <c r="D47" s="396" t="s">
        <v>929</v>
      </c>
      <c r="E47" s="30" t="s">
        <v>18</v>
      </c>
      <c r="F47" s="19">
        <v>25000</v>
      </c>
      <c r="G47" s="19">
        <f t="shared" si="3"/>
        <v>2500</v>
      </c>
      <c r="H47" s="19">
        <f t="shared" si="4"/>
        <v>22500</v>
      </c>
      <c r="I47" s="103">
        <v>42709</v>
      </c>
      <c r="J47" s="339">
        <v>42745</v>
      </c>
      <c r="K47" s="353">
        <f t="shared" si="5"/>
        <v>45757</v>
      </c>
      <c r="L47" s="367">
        <f t="shared" ref="L47:L52" si="10">EDATE(K47,20)</f>
        <v>46366</v>
      </c>
      <c r="M47" s="28">
        <v>100</v>
      </c>
      <c r="N47" s="391">
        <f>+S47/F47</f>
        <v>0</v>
      </c>
      <c r="O47" s="391">
        <f>+T47/F47</f>
        <v>92</v>
      </c>
      <c r="P47" s="391">
        <f t="shared" si="6"/>
        <v>8</v>
      </c>
      <c r="Q47" s="2"/>
      <c r="R47" s="102">
        <f>+F47*M47</f>
        <v>2500000</v>
      </c>
      <c r="S47" s="392">
        <v>0</v>
      </c>
      <c r="T47" s="392">
        <f>'[35]A - 207'!$D$121</f>
        <v>2300000</v>
      </c>
      <c r="U47" s="102">
        <f t="shared" si="7"/>
        <v>200000</v>
      </c>
    </row>
    <row r="48" spans="1:22" s="78" customFormat="1" x14ac:dyDescent="0.25">
      <c r="A48" s="63">
        <v>36</v>
      </c>
      <c r="B48" s="31" t="s">
        <v>80</v>
      </c>
      <c r="C48" s="33" t="s">
        <v>612</v>
      </c>
      <c r="D48" s="396" t="s">
        <v>929</v>
      </c>
      <c r="E48" s="30" t="s">
        <v>18</v>
      </c>
      <c r="F48" s="19">
        <v>25000</v>
      </c>
      <c r="G48" s="19">
        <v>2500</v>
      </c>
      <c r="H48" s="19">
        <f t="shared" si="4"/>
        <v>22500</v>
      </c>
      <c r="I48" s="103">
        <v>42840</v>
      </c>
      <c r="J48" s="339">
        <v>42653</v>
      </c>
      <c r="K48" s="353">
        <f t="shared" si="5"/>
        <v>45667</v>
      </c>
      <c r="L48" s="367">
        <f t="shared" si="10"/>
        <v>46275</v>
      </c>
      <c r="M48" s="28">
        <v>100</v>
      </c>
      <c r="N48" s="391">
        <f>+S48/F48</f>
        <v>0</v>
      </c>
      <c r="O48" s="391">
        <f>+T48/F48</f>
        <v>89</v>
      </c>
      <c r="P48" s="391">
        <f t="shared" si="6"/>
        <v>11</v>
      </c>
      <c r="Q48" s="2"/>
      <c r="R48" s="102">
        <f>+F48*M48</f>
        <v>2500000</v>
      </c>
      <c r="S48" s="392">
        <v>0</v>
      </c>
      <c r="T48" s="392">
        <f>'[36]A - 208'!$D$121</f>
        <v>2225000</v>
      </c>
      <c r="U48" s="102">
        <f t="shared" si="7"/>
        <v>275000</v>
      </c>
    </row>
    <row r="49" spans="1:22" s="78" customFormat="1" x14ac:dyDescent="0.25">
      <c r="A49" s="63">
        <v>37</v>
      </c>
      <c r="B49" s="31" t="s">
        <v>85</v>
      </c>
      <c r="C49" s="33" t="s">
        <v>613</v>
      </c>
      <c r="D49" s="396"/>
      <c r="E49" s="30" t="s">
        <v>18</v>
      </c>
      <c r="F49" s="19">
        <v>25000</v>
      </c>
      <c r="G49" s="19">
        <f t="shared" si="3"/>
        <v>2500</v>
      </c>
      <c r="H49" s="19">
        <f t="shared" si="4"/>
        <v>22500</v>
      </c>
      <c r="I49" s="103">
        <v>42975</v>
      </c>
      <c r="J49" s="339">
        <v>42988</v>
      </c>
      <c r="K49" s="353">
        <f t="shared" si="5"/>
        <v>46001</v>
      </c>
      <c r="L49" s="367">
        <f t="shared" si="10"/>
        <v>46609</v>
      </c>
      <c r="M49" s="28">
        <v>100</v>
      </c>
      <c r="N49" s="391">
        <f>+S49/F49</f>
        <v>0</v>
      </c>
      <c r="O49" s="391">
        <f>+T49/F49</f>
        <v>84</v>
      </c>
      <c r="P49" s="391">
        <f t="shared" si="6"/>
        <v>16</v>
      </c>
      <c r="Q49" s="2"/>
      <c r="R49" s="102">
        <f>+F49*M49</f>
        <v>2500000</v>
      </c>
      <c r="S49" s="392">
        <v>0</v>
      </c>
      <c r="T49" s="392">
        <f>'[37]A - 209'!$D$121</f>
        <v>2100000</v>
      </c>
      <c r="U49" s="102">
        <f t="shared" si="7"/>
        <v>400000</v>
      </c>
    </row>
    <row r="50" spans="1:22" s="78" customFormat="1" ht="31.5" x14ac:dyDescent="0.25">
      <c r="A50" s="394">
        <v>38</v>
      </c>
      <c r="B50" s="395" t="s">
        <v>88</v>
      </c>
      <c r="C50" s="33" t="s">
        <v>709</v>
      </c>
      <c r="D50" s="396" t="s">
        <v>929</v>
      </c>
      <c r="E50" s="397" t="s">
        <v>18</v>
      </c>
      <c r="F50" s="398">
        <v>30000</v>
      </c>
      <c r="G50" s="398">
        <f t="shared" si="3"/>
        <v>3000</v>
      </c>
      <c r="H50" s="398">
        <f t="shared" si="4"/>
        <v>27000</v>
      </c>
      <c r="I50" s="409"/>
      <c r="J50" s="410">
        <v>43261</v>
      </c>
      <c r="K50" s="401">
        <f t="shared" si="5"/>
        <v>46275</v>
      </c>
      <c r="L50" s="402">
        <f t="shared" si="10"/>
        <v>46883</v>
      </c>
      <c r="M50" s="411">
        <v>100</v>
      </c>
      <c r="N50" s="403">
        <f>+S50/F50</f>
        <v>0</v>
      </c>
      <c r="O50" s="403">
        <f>+T50/F50</f>
        <v>72</v>
      </c>
      <c r="P50" s="403">
        <f t="shared" si="6"/>
        <v>28</v>
      </c>
      <c r="Q50" s="2"/>
      <c r="R50" s="404">
        <f>+F50*M50</f>
        <v>3000000</v>
      </c>
      <c r="S50" s="405">
        <v>0</v>
      </c>
      <c r="T50" s="405">
        <f>'[38]A - 210'!$D$119</f>
        <v>2160000</v>
      </c>
      <c r="U50" s="404">
        <f t="shared" si="7"/>
        <v>840000</v>
      </c>
    </row>
    <row r="51" spans="1:22" x14ac:dyDescent="0.25">
      <c r="A51" s="239">
        <v>39</v>
      </c>
      <c r="B51" s="159" t="s">
        <v>91</v>
      </c>
      <c r="C51" s="240" t="s">
        <v>614</v>
      </c>
      <c r="D51" s="240" t="s">
        <v>929</v>
      </c>
      <c r="E51" s="241" t="s">
        <v>30</v>
      </c>
      <c r="F51" s="241">
        <v>16000</v>
      </c>
      <c r="G51" s="241">
        <f t="shared" si="3"/>
        <v>1600</v>
      </c>
      <c r="H51" s="241">
        <f t="shared" si="4"/>
        <v>14400</v>
      </c>
      <c r="I51" s="242">
        <v>41787</v>
      </c>
      <c r="J51" s="330">
        <v>41800</v>
      </c>
      <c r="K51" s="349">
        <f t="shared" si="5"/>
        <v>44814</v>
      </c>
      <c r="L51" s="349">
        <f t="shared" si="10"/>
        <v>45422</v>
      </c>
      <c r="M51" s="239">
        <v>100</v>
      </c>
      <c r="N51" s="243">
        <f>+S51/F51</f>
        <v>0</v>
      </c>
      <c r="O51" s="243">
        <v>100</v>
      </c>
      <c r="P51" s="243">
        <f t="shared" si="6"/>
        <v>0</v>
      </c>
      <c r="Q51" s="80"/>
      <c r="R51" s="241">
        <f>+F51*M51</f>
        <v>1600000</v>
      </c>
      <c r="S51" s="241">
        <v>0</v>
      </c>
      <c r="T51" s="241">
        <f>'[39]A - 211'!$D$123</f>
        <v>1568000</v>
      </c>
      <c r="U51" s="241">
        <f t="shared" si="7"/>
        <v>32000</v>
      </c>
    </row>
    <row r="52" spans="1:22" s="78" customFormat="1" x14ac:dyDescent="0.25">
      <c r="A52" s="63">
        <v>40</v>
      </c>
      <c r="B52" s="27" t="s">
        <v>96</v>
      </c>
      <c r="C52" s="26" t="s">
        <v>615</v>
      </c>
      <c r="D52" s="24" t="s">
        <v>929</v>
      </c>
      <c r="E52" s="30" t="s">
        <v>18</v>
      </c>
      <c r="F52" s="19">
        <v>16000</v>
      </c>
      <c r="G52" s="19">
        <f t="shared" si="3"/>
        <v>1600</v>
      </c>
      <c r="H52" s="19">
        <f t="shared" si="4"/>
        <v>14400</v>
      </c>
      <c r="I52" s="103">
        <v>41954</v>
      </c>
      <c r="J52" s="339">
        <v>42410</v>
      </c>
      <c r="K52" s="353">
        <f t="shared" si="5"/>
        <v>45422</v>
      </c>
      <c r="L52" s="367">
        <f t="shared" si="10"/>
        <v>46032</v>
      </c>
      <c r="M52" s="28">
        <v>100</v>
      </c>
      <c r="N52" s="391">
        <v>42</v>
      </c>
      <c r="O52" s="391">
        <v>58</v>
      </c>
      <c r="P52" s="391">
        <f t="shared" si="6"/>
        <v>0</v>
      </c>
      <c r="Q52" s="2"/>
      <c r="R52" s="102">
        <v>1738600</v>
      </c>
      <c r="S52" s="392">
        <f>SUM('[40]A - 212'!$D$9:$D$50)</f>
        <v>810600</v>
      </c>
      <c r="T52" s="392">
        <v>928000</v>
      </c>
      <c r="U52" s="102">
        <v>0</v>
      </c>
    </row>
    <row r="53" spans="1:22" s="78" customFormat="1" x14ac:dyDescent="0.25">
      <c r="A53" s="394"/>
      <c r="B53" s="27" t="s">
        <v>96</v>
      </c>
      <c r="C53" s="26" t="s">
        <v>615</v>
      </c>
      <c r="D53" s="396"/>
      <c r="E53" s="397" t="s">
        <v>800</v>
      </c>
      <c r="F53" s="398">
        <v>11000</v>
      </c>
      <c r="G53" s="398">
        <f t="shared" si="3"/>
        <v>1100</v>
      </c>
      <c r="H53" s="398">
        <f t="shared" si="4"/>
        <v>9900</v>
      </c>
      <c r="I53" s="409"/>
      <c r="J53" s="410"/>
      <c r="K53" s="401"/>
      <c r="L53" s="402"/>
      <c r="M53" s="411"/>
      <c r="N53" s="403"/>
      <c r="O53" s="403"/>
      <c r="P53" s="403"/>
      <c r="Q53" s="2"/>
      <c r="R53" s="404"/>
      <c r="S53" s="405"/>
      <c r="T53" s="405"/>
      <c r="U53" s="404"/>
    </row>
    <row r="54" spans="1:22" s="80" customFormat="1" x14ac:dyDescent="0.25">
      <c r="A54" s="208">
        <v>41</v>
      </c>
      <c r="B54" s="226" t="s">
        <v>101</v>
      </c>
      <c r="C54" s="99" t="s">
        <v>616</v>
      </c>
      <c r="D54" s="373" t="s">
        <v>929</v>
      </c>
      <c r="E54" s="210" t="s">
        <v>18</v>
      </c>
      <c r="F54" s="211">
        <v>16000</v>
      </c>
      <c r="G54" s="211">
        <f t="shared" si="3"/>
        <v>1600</v>
      </c>
      <c r="H54" s="211">
        <f t="shared" si="4"/>
        <v>14400</v>
      </c>
      <c r="I54" s="212">
        <v>41891</v>
      </c>
      <c r="J54" s="326">
        <v>41922</v>
      </c>
      <c r="K54" s="345">
        <f t="shared" si="5"/>
        <v>44936</v>
      </c>
      <c r="L54" s="359">
        <f>EDATE(K54,20)</f>
        <v>45545</v>
      </c>
      <c r="M54" s="213">
        <v>100</v>
      </c>
      <c r="N54" s="214">
        <f>+S54/F54</f>
        <v>0</v>
      </c>
      <c r="O54" s="214">
        <f>+T54/F54</f>
        <v>100</v>
      </c>
      <c r="P54" s="214">
        <f t="shared" si="6"/>
        <v>0</v>
      </c>
      <c r="R54" s="215">
        <f>+F54*M54</f>
        <v>1600000</v>
      </c>
      <c r="S54" s="216">
        <v>0</v>
      </c>
      <c r="T54" s="216">
        <f>'[41]A -213'!$D$123</f>
        <v>1600000</v>
      </c>
      <c r="U54" s="215">
        <f t="shared" si="7"/>
        <v>0</v>
      </c>
      <c r="V54" s="80" t="s">
        <v>945</v>
      </c>
    </row>
    <row r="55" spans="1:22" x14ac:dyDescent="0.25">
      <c r="A55" s="239">
        <v>42</v>
      </c>
      <c r="B55" s="159" t="s">
        <v>106</v>
      </c>
      <c r="C55" s="240" t="s">
        <v>617</v>
      </c>
      <c r="D55" s="240" t="s">
        <v>929</v>
      </c>
      <c r="E55" s="241" t="s">
        <v>30</v>
      </c>
      <c r="F55" s="241">
        <v>16000</v>
      </c>
      <c r="G55" s="241">
        <f t="shared" si="3"/>
        <v>1600</v>
      </c>
      <c r="H55" s="241">
        <f t="shared" si="4"/>
        <v>14400</v>
      </c>
      <c r="I55" s="242">
        <v>41827</v>
      </c>
      <c r="J55" s="330">
        <v>41907</v>
      </c>
      <c r="K55" s="349">
        <f t="shared" si="5"/>
        <v>44920</v>
      </c>
      <c r="L55" s="349">
        <f>EDATE(K55,20)</f>
        <v>45529</v>
      </c>
      <c r="M55" s="239">
        <v>100</v>
      </c>
      <c r="N55" s="243">
        <f>+S55/F55</f>
        <v>0</v>
      </c>
      <c r="O55" s="243">
        <v>100</v>
      </c>
      <c r="P55" s="243">
        <f t="shared" si="6"/>
        <v>0</v>
      </c>
      <c r="Q55" s="80"/>
      <c r="R55" s="241">
        <f>+F55*M55</f>
        <v>1600000</v>
      </c>
      <c r="S55" s="241">
        <v>0</v>
      </c>
      <c r="T55" s="241">
        <v>1584000</v>
      </c>
      <c r="U55" s="241">
        <f t="shared" si="7"/>
        <v>16000</v>
      </c>
    </row>
    <row r="56" spans="1:22" x14ac:dyDescent="0.25">
      <c r="A56" s="248">
        <v>43</v>
      </c>
      <c r="B56" s="255" t="s">
        <v>971</v>
      </c>
      <c r="C56" s="381" t="s">
        <v>972</v>
      </c>
      <c r="D56" s="381" t="s">
        <v>929</v>
      </c>
      <c r="E56" s="382" t="s">
        <v>18</v>
      </c>
      <c r="F56" s="382">
        <v>31000</v>
      </c>
      <c r="G56" s="382">
        <f t="shared" si="3"/>
        <v>3100</v>
      </c>
      <c r="H56" s="382">
        <f t="shared" si="4"/>
        <v>27900</v>
      </c>
      <c r="I56" s="383" t="s">
        <v>973</v>
      </c>
      <c r="J56" s="388">
        <v>46301</v>
      </c>
      <c r="K56" s="385"/>
      <c r="L56" s="385">
        <v>47396</v>
      </c>
      <c r="M56" s="248">
        <v>36</v>
      </c>
      <c r="N56" s="407"/>
      <c r="O56" s="407"/>
      <c r="P56" s="407"/>
      <c r="R56" s="382">
        <v>1116000</v>
      </c>
      <c r="S56" s="382"/>
      <c r="T56" s="382"/>
      <c r="U56" s="382">
        <f>R56-T56</f>
        <v>1116000</v>
      </c>
    </row>
    <row r="57" spans="1:22" x14ac:dyDescent="0.25">
      <c r="A57" s="239">
        <v>44</v>
      </c>
      <c r="B57" s="159" t="s">
        <v>107</v>
      </c>
      <c r="C57" s="240" t="s">
        <v>618</v>
      </c>
      <c r="D57" s="240" t="s">
        <v>929</v>
      </c>
      <c r="E57" s="241" t="s">
        <v>30</v>
      </c>
      <c r="F57" s="241">
        <v>16000</v>
      </c>
      <c r="G57" s="241">
        <f t="shared" si="3"/>
        <v>1600</v>
      </c>
      <c r="H57" s="241">
        <f t="shared" si="4"/>
        <v>14400</v>
      </c>
      <c r="I57" s="242">
        <v>41795</v>
      </c>
      <c r="J57" s="330">
        <v>41784</v>
      </c>
      <c r="K57" s="349">
        <f t="shared" si="5"/>
        <v>44798</v>
      </c>
      <c r="L57" s="349">
        <f>EDATE(K57,20)</f>
        <v>45407</v>
      </c>
      <c r="M57" s="239">
        <v>100</v>
      </c>
      <c r="N57" s="246">
        <v>44</v>
      </c>
      <c r="O57" s="246">
        <f>+T57/F57</f>
        <v>56</v>
      </c>
      <c r="P57" s="246">
        <f t="shared" si="6"/>
        <v>0</v>
      </c>
      <c r="Q57" s="80"/>
      <c r="R57" s="245">
        <v>1248000</v>
      </c>
      <c r="S57" s="245">
        <f>SUM('[42]A - 302'!$D$9:$D$52)</f>
        <v>352000</v>
      </c>
      <c r="T57" s="245">
        <v>896000</v>
      </c>
      <c r="U57" s="245">
        <f t="shared" si="7"/>
        <v>0</v>
      </c>
    </row>
    <row r="58" spans="1:22" x14ac:dyDescent="0.25">
      <c r="A58" s="248">
        <v>45</v>
      </c>
      <c r="B58" s="255" t="s">
        <v>974</v>
      </c>
      <c r="C58" s="381" t="s">
        <v>975</v>
      </c>
      <c r="D58" s="381" t="s">
        <v>929</v>
      </c>
      <c r="E58" s="382" t="s">
        <v>18</v>
      </c>
      <c r="F58" s="382">
        <v>31000</v>
      </c>
      <c r="G58" s="382">
        <f t="shared" si="3"/>
        <v>3100</v>
      </c>
      <c r="H58" s="382">
        <f t="shared" si="4"/>
        <v>27900</v>
      </c>
      <c r="I58" s="406">
        <v>46269</v>
      </c>
      <c r="J58" s="388">
        <v>46300</v>
      </c>
      <c r="K58" s="385"/>
      <c r="L58" s="385">
        <v>47395</v>
      </c>
      <c r="M58" s="248">
        <v>36</v>
      </c>
      <c r="N58" s="254"/>
      <c r="O58" s="254">
        <v>1</v>
      </c>
      <c r="P58" s="254">
        <f>M58-O58</f>
        <v>35</v>
      </c>
      <c r="R58" s="251">
        <v>1116000</v>
      </c>
      <c r="S58" s="251"/>
      <c r="T58" s="251">
        <v>31000</v>
      </c>
      <c r="U58" s="251">
        <f>R58-T58</f>
        <v>1085000</v>
      </c>
    </row>
    <row r="59" spans="1:22" x14ac:dyDescent="0.25">
      <c r="A59" s="239">
        <v>46</v>
      </c>
      <c r="B59" s="160" t="s">
        <v>112</v>
      </c>
      <c r="C59" s="244" t="s">
        <v>619</v>
      </c>
      <c r="D59" s="244" t="s">
        <v>929</v>
      </c>
      <c r="E59" s="245" t="s">
        <v>30</v>
      </c>
      <c r="F59" s="245">
        <v>25000</v>
      </c>
      <c r="G59" s="245">
        <f t="shared" si="3"/>
        <v>2500</v>
      </c>
      <c r="H59" s="245">
        <f t="shared" si="4"/>
        <v>22500</v>
      </c>
      <c r="I59" s="242">
        <v>42916</v>
      </c>
      <c r="J59" s="330">
        <v>42941</v>
      </c>
      <c r="K59" s="349">
        <f t="shared" si="5"/>
        <v>45955</v>
      </c>
      <c r="L59" s="349">
        <f>EDATE(K59,20)</f>
        <v>46563</v>
      </c>
      <c r="M59" s="247">
        <v>100</v>
      </c>
      <c r="N59" s="246">
        <f>+S59/F59</f>
        <v>0</v>
      </c>
      <c r="O59" s="246">
        <f>+T59/F59</f>
        <v>69</v>
      </c>
      <c r="P59" s="246">
        <f t="shared" si="6"/>
        <v>31</v>
      </c>
      <c r="Q59" s="80"/>
      <c r="R59" s="245">
        <f>+F59*M59</f>
        <v>2500000</v>
      </c>
      <c r="S59" s="245">
        <v>0</v>
      </c>
      <c r="T59" s="245">
        <f>'[43]A - 304'!$D$121</f>
        <v>1725000</v>
      </c>
      <c r="U59" s="245">
        <f t="shared" si="7"/>
        <v>775000</v>
      </c>
    </row>
    <row r="60" spans="1:22" s="78" customFormat="1" x14ac:dyDescent="0.25">
      <c r="A60" s="63">
        <v>47</v>
      </c>
      <c r="B60" s="27" t="s">
        <v>116</v>
      </c>
      <c r="C60" s="26" t="s">
        <v>620</v>
      </c>
      <c r="D60" s="24" t="s">
        <v>929</v>
      </c>
      <c r="E60" s="30" t="s">
        <v>18</v>
      </c>
      <c r="F60" s="19">
        <v>16000</v>
      </c>
      <c r="G60" s="19">
        <f t="shared" si="3"/>
        <v>1600</v>
      </c>
      <c r="H60" s="19">
        <f t="shared" si="4"/>
        <v>14400</v>
      </c>
      <c r="I60" s="103">
        <v>41963</v>
      </c>
      <c r="J60" s="339">
        <v>42439</v>
      </c>
      <c r="K60" s="353">
        <f>DATE(YEAR(J60),MONTH(J60)+90,DAY(J60))</f>
        <v>45179</v>
      </c>
      <c r="L60" s="367">
        <f>EDATE(K60,20)</f>
        <v>45787</v>
      </c>
      <c r="M60" s="28">
        <v>91</v>
      </c>
      <c r="N60" s="391">
        <v>40</v>
      </c>
      <c r="O60" s="391">
        <v>29.5</v>
      </c>
      <c r="P60" s="391"/>
      <c r="Q60" s="2"/>
      <c r="R60" s="102">
        <f>+F60*M60</f>
        <v>1456000</v>
      </c>
      <c r="S60" s="392"/>
      <c r="T60" s="392"/>
      <c r="U60" s="102"/>
    </row>
    <row r="61" spans="1:22" s="78" customFormat="1" x14ac:dyDescent="0.25">
      <c r="A61" s="63"/>
      <c r="B61" s="27" t="s">
        <v>116</v>
      </c>
      <c r="C61" s="26" t="s">
        <v>620</v>
      </c>
      <c r="D61" s="24"/>
      <c r="E61" s="30" t="s">
        <v>800</v>
      </c>
      <c r="F61" s="19">
        <v>11000</v>
      </c>
      <c r="G61" s="19"/>
      <c r="H61" s="19"/>
      <c r="I61" s="103"/>
      <c r="J61" s="339"/>
      <c r="K61" s="353"/>
      <c r="L61" s="367"/>
      <c r="M61" s="28"/>
      <c r="N61" s="391"/>
      <c r="O61" s="391"/>
      <c r="P61" s="391"/>
      <c r="Q61" s="2"/>
      <c r="R61" s="102"/>
      <c r="S61" s="392"/>
      <c r="T61" s="392"/>
      <c r="U61" s="102"/>
    </row>
    <row r="62" spans="1:22" s="78" customFormat="1" x14ac:dyDescent="0.25">
      <c r="A62" s="155">
        <v>48</v>
      </c>
      <c r="B62" s="96" t="s">
        <v>737</v>
      </c>
      <c r="C62" s="99" t="s">
        <v>743</v>
      </c>
      <c r="D62" s="373"/>
      <c r="E62" s="87" t="s">
        <v>18</v>
      </c>
      <c r="F62" s="88">
        <v>16000</v>
      </c>
      <c r="G62" s="88">
        <f t="shared" si="3"/>
        <v>1600</v>
      </c>
      <c r="H62" s="88">
        <f t="shared" si="4"/>
        <v>14400</v>
      </c>
      <c r="I62" s="89"/>
      <c r="J62" s="328">
        <v>41800</v>
      </c>
      <c r="K62" s="347">
        <f t="shared" ref="K62:K67" si="11">DATE(YEAR(J62),MONTH(J62)+99,DAY(J62))</f>
        <v>44814</v>
      </c>
      <c r="L62" s="361">
        <f t="shared" ref="L62:L68" si="12">EDATE(K62,20)</f>
        <v>45422</v>
      </c>
      <c r="M62" s="90">
        <v>100</v>
      </c>
      <c r="N62" s="91">
        <f t="shared" ref="N62:N67" si="13">+S62/F62</f>
        <v>0</v>
      </c>
      <c r="O62" s="91">
        <f>+T62/F62</f>
        <v>62</v>
      </c>
      <c r="P62" s="91">
        <f t="shared" si="6"/>
        <v>38</v>
      </c>
      <c r="Q62" s="80"/>
      <c r="R62" s="92">
        <f t="shared" ref="R62:R67" si="14">+F62*M62</f>
        <v>1600000</v>
      </c>
      <c r="S62" s="93">
        <v>0</v>
      </c>
      <c r="T62" s="93">
        <f>'[44]A - 306'!$D$121</f>
        <v>992000</v>
      </c>
      <c r="U62" s="92">
        <f t="shared" si="7"/>
        <v>608000</v>
      </c>
      <c r="V62" s="78" t="s">
        <v>946</v>
      </c>
    </row>
    <row r="63" spans="1:22" s="78" customFormat="1" x14ac:dyDescent="0.25">
      <c r="A63" s="262">
        <v>49</v>
      </c>
      <c r="B63" s="284" t="s">
        <v>121</v>
      </c>
      <c r="C63" s="289" t="s">
        <v>621</v>
      </c>
      <c r="D63" s="272" t="s">
        <v>929</v>
      </c>
      <c r="E63" s="264" t="s">
        <v>18</v>
      </c>
      <c r="F63" s="265">
        <v>22000</v>
      </c>
      <c r="G63" s="265">
        <f t="shared" si="3"/>
        <v>2200</v>
      </c>
      <c r="H63" s="265">
        <f t="shared" si="4"/>
        <v>19800</v>
      </c>
      <c r="I63" s="286">
        <v>42632</v>
      </c>
      <c r="J63" s="325">
        <v>42653</v>
      </c>
      <c r="K63" s="331">
        <f t="shared" si="11"/>
        <v>45667</v>
      </c>
      <c r="L63" s="357">
        <f t="shared" si="12"/>
        <v>46275</v>
      </c>
      <c r="M63" s="287">
        <v>100</v>
      </c>
      <c r="N63" s="266">
        <f t="shared" si="13"/>
        <v>0</v>
      </c>
      <c r="O63" s="266">
        <f>+T63/F63</f>
        <v>93</v>
      </c>
      <c r="P63" s="266">
        <f t="shared" si="6"/>
        <v>7</v>
      </c>
      <c r="Q63" s="2"/>
      <c r="R63" s="267">
        <f t="shared" si="14"/>
        <v>2200000</v>
      </c>
      <c r="S63" s="268">
        <v>0</v>
      </c>
      <c r="T63" s="268">
        <f>'[45]A - 307'!$D$121</f>
        <v>2046000</v>
      </c>
      <c r="U63" s="267">
        <f t="shared" si="7"/>
        <v>154000</v>
      </c>
    </row>
    <row r="64" spans="1:22" s="78" customFormat="1" x14ac:dyDescent="0.25">
      <c r="A64" s="146">
        <v>50</v>
      </c>
      <c r="B64" s="81" t="s">
        <v>126</v>
      </c>
      <c r="C64" s="154" t="s">
        <v>622</v>
      </c>
      <c r="D64" s="374" t="s">
        <v>929</v>
      </c>
      <c r="E64" s="148" t="s">
        <v>18</v>
      </c>
      <c r="F64" s="149">
        <v>22000</v>
      </c>
      <c r="G64" s="149">
        <f t="shared" si="3"/>
        <v>2200</v>
      </c>
      <c r="H64" s="149">
        <f t="shared" si="4"/>
        <v>19800</v>
      </c>
      <c r="I64" s="166">
        <v>42396</v>
      </c>
      <c r="J64" s="329">
        <v>42410</v>
      </c>
      <c r="K64" s="348">
        <f t="shared" si="11"/>
        <v>45422</v>
      </c>
      <c r="L64" s="362">
        <f t="shared" si="12"/>
        <v>46032</v>
      </c>
      <c r="M64" s="150">
        <v>100</v>
      </c>
      <c r="N64" s="151">
        <f t="shared" si="13"/>
        <v>0</v>
      </c>
      <c r="O64" s="151">
        <v>100</v>
      </c>
      <c r="P64" s="151">
        <f t="shared" si="6"/>
        <v>0</v>
      </c>
      <c r="Q64" s="2"/>
      <c r="R64" s="152">
        <f t="shared" si="14"/>
        <v>2200000</v>
      </c>
      <c r="S64" s="153">
        <v>0</v>
      </c>
      <c r="T64" s="153">
        <f>'[46]A - 308'!$D$123</f>
        <v>2200000</v>
      </c>
      <c r="U64" s="152">
        <f t="shared" si="7"/>
        <v>0</v>
      </c>
    </row>
    <row r="65" spans="1:21" s="78" customFormat="1" x14ac:dyDescent="0.25">
      <c r="A65" s="155">
        <v>51</v>
      </c>
      <c r="B65" s="96" t="s">
        <v>131</v>
      </c>
      <c r="C65" s="99" t="s">
        <v>623</v>
      </c>
      <c r="D65" s="373" t="s">
        <v>929</v>
      </c>
      <c r="E65" s="87" t="s">
        <v>18</v>
      </c>
      <c r="F65" s="88">
        <v>16000</v>
      </c>
      <c r="G65" s="88">
        <f t="shared" si="3"/>
        <v>1600</v>
      </c>
      <c r="H65" s="88">
        <f t="shared" si="4"/>
        <v>14400</v>
      </c>
      <c r="I65" s="89">
        <v>41842</v>
      </c>
      <c r="J65" s="328">
        <v>41861</v>
      </c>
      <c r="K65" s="347">
        <f t="shared" si="11"/>
        <v>44875</v>
      </c>
      <c r="L65" s="361">
        <f t="shared" si="12"/>
        <v>45483</v>
      </c>
      <c r="M65" s="90">
        <v>100</v>
      </c>
      <c r="N65" s="91">
        <f t="shared" si="13"/>
        <v>0</v>
      </c>
      <c r="O65" s="91">
        <f>+T65/F65</f>
        <v>100</v>
      </c>
      <c r="P65" s="91">
        <f t="shared" si="6"/>
        <v>0</v>
      </c>
      <c r="Q65" s="80"/>
      <c r="R65" s="92">
        <f t="shared" si="14"/>
        <v>1600000</v>
      </c>
      <c r="S65" s="93">
        <v>0</v>
      </c>
      <c r="T65" s="93">
        <v>1600000</v>
      </c>
      <c r="U65" s="92">
        <f t="shared" si="7"/>
        <v>0</v>
      </c>
    </row>
    <row r="66" spans="1:21" s="78" customFormat="1" x14ac:dyDescent="0.25">
      <c r="A66" s="262">
        <v>52</v>
      </c>
      <c r="B66" s="31" t="s">
        <v>136</v>
      </c>
      <c r="C66" s="33" t="s">
        <v>778</v>
      </c>
      <c r="D66" s="396"/>
      <c r="E66" s="30" t="s">
        <v>18</v>
      </c>
      <c r="F66" s="19">
        <v>28000</v>
      </c>
      <c r="G66" s="19">
        <f t="shared" si="3"/>
        <v>2800</v>
      </c>
      <c r="H66" s="19">
        <f t="shared" si="4"/>
        <v>25200</v>
      </c>
      <c r="I66" s="103">
        <v>43328</v>
      </c>
      <c r="J66" s="339">
        <v>43200</v>
      </c>
      <c r="K66" s="353">
        <f t="shared" si="11"/>
        <v>46213</v>
      </c>
      <c r="L66" s="367">
        <f t="shared" si="12"/>
        <v>46822</v>
      </c>
      <c r="M66" s="28">
        <v>100</v>
      </c>
      <c r="N66" s="391">
        <f t="shared" si="13"/>
        <v>0</v>
      </c>
      <c r="O66" s="391">
        <f>+T66/F66</f>
        <v>77</v>
      </c>
      <c r="P66" s="391">
        <f t="shared" ref="P66" si="15">+M66-N66-O66</f>
        <v>23</v>
      </c>
      <c r="Q66" s="102">
        <v>2200000</v>
      </c>
      <c r="R66" s="392">
        <f t="shared" si="14"/>
        <v>2800000</v>
      </c>
      <c r="S66" s="392"/>
      <c r="T66" s="102">
        <f>'[47]A - 310'!$D$123</f>
        <v>2156000</v>
      </c>
      <c r="U66" s="102"/>
    </row>
    <row r="67" spans="1:21" s="78" customFormat="1" x14ac:dyDescent="0.25">
      <c r="A67" s="262">
        <v>53</v>
      </c>
      <c r="B67" s="27" t="s">
        <v>140</v>
      </c>
      <c r="C67" s="33" t="s">
        <v>707</v>
      </c>
      <c r="D67" s="396" t="s">
        <v>929</v>
      </c>
      <c r="E67" s="30" t="s">
        <v>18</v>
      </c>
      <c r="F67" s="19">
        <v>28000</v>
      </c>
      <c r="G67" s="19">
        <f t="shared" si="3"/>
        <v>2800</v>
      </c>
      <c r="H67" s="19">
        <f t="shared" si="4"/>
        <v>25200</v>
      </c>
      <c r="I67" s="103">
        <v>43211</v>
      </c>
      <c r="J67" s="339">
        <v>43200</v>
      </c>
      <c r="K67" s="353">
        <f t="shared" si="11"/>
        <v>46213</v>
      </c>
      <c r="L67" s="367">
        <f t="shared" si="12"/>
        <v>46822</v>
      </c>
      <c r="M67" s="28">
        <v>100</v>
      </c>
      <c r="N67" s="391">
        <f t="shared" si="13"/>
        <v>0</v>
      </c>
      <c r="O67" s="391">
        <f>+T67/F67</f>
        <v>77</v>
      </c>
      <c r="P67" s="391">
        <f t="shared" si="6"/>
        <v>23</v>
      </c>
      <c r="Q67" s="2"/>
      <c r="R67" s="102">
        <f t="shared" si="14"/>
        <v>2800000</v>
      </c>
      <c r="S67" s="392">
        <v>0</v>
      </c>
      <c r="T67" s="392">
        <f>'[48]A - 311'!$D$121</f>
        <v>2156000</v>
      </c>
      <c r="U67" s="102">
        <f t="shared" si="7"/>
        <v>644000</v>
      </c>
    </row>
    <row r="68" spans="1:21" s="78" customFormat="1" x14ac:dyDescent="0.25">
      <c r="A68" s="270">
        <v>54</v>
      </c>
      <c r="B68" s="408" t="s">
        <v>145</v>
      </c>
      <c r="C68" s="33" t="s">
        <v>624</v>
      </c>
      <c r="D68" s="396" t="s">
        <v>929</v>
      </c>
      <c r="E68" s="397" t="s">
        <v>18</v>
      </c>
      <c r="F68" s="398">
        <v>16000</v>
      </c>
      <c r="G68" s="398">
        <f t="shared" si="3"/>
        <v>1600</v>
      </c>
      <c r="H68" s="398">
        <f t="shared" si="4"/>
        <v>14400</v>
      </c>
      <c r="I68" s="409">
        <v>41942</v>
      </c>
      <c r="J68" s="410">
        <v>42439</v>
      </c>
      <c r="K68" s="401">
        <f>DATE(YEAR(J68),MONTH(J68)+90,DAY(J68))</f>
        <v>45179</v>
      </c>
      <c r="L68" s="402">
        <f t="shared" si="12"/>
        <v>45787</v>
      </c>
      <c r="M68" s="411">
        <v>100</v>
      </c>
      <c r="N68" s="403">
        <v>40</v>
      </c>
      <c r="O68" s="403">
        <v>60</v>
      </c>
      <c r="P68" s="403">
        <f t="shared" si="6"/>
        <v>0</v>
      </c>
      <c r="Q68" s="2"/>
      <c r="R68" s="404">
        <v>1732000</v>
      </c>
      <c r="S68" s="405">
        <f>SUM('[49]A - 312'!$D$9:$D$48)</f>
        <v>772000</v>
      </c>
      <c r="T68" s="405">
        <v>960000</v>
      </c>
      <c r="U68" s="404">
        <f t="shared" si="7"/>
        <v>0</v>
      </c>
    </row>
    <row r="69" spans="1:21" s="78" customFormat="1" x14ac:dyDescent="0.25">
      <c r="A69" s="279"/>
      <c r="B69" s="408" t="s">
        <v>145</v>
      </c>
      <c r="C69" s="33" t="s">
        <v>624</v>
      </c>
      <c r="D69" s="445"/>
      <c r="E69" s="382" t="s">
        <v>888</v>
      </c>
      <c r="F69" s="382">
        <v>11000</v>
      </c>
      <c r="G69" s="382"/>
      <c r="H69" s="382"/>
      <c r="I69" s="406"/>
      <c r="J69" s="388"/>
      <c r="K69" s="385"/>
      <c r="L69" s="385"/>
      <c r="M69" s="248"/>
      <c r="N69" s="254"/>
      <c r="O69" s="254"/>
      <c r="P69" s="254"/>
      <c r="Q69" s="2"/>
      <c r="R69" s="251"/>
      <c r="S69" s="251"/>
      <c r="T69" s="251"/>
      <c r="U69" s="251"/>
    </row>
    <row r="70" spans="1:21" ht="31.5" x14ac:dyDescent="0.25">
      <c r="A70" s="301">
        <v>55</v>
      </c>
      <c r="B70" s="302" t="s">
        <v>738</v>
      </c>
      <c r="C70" s="303" t="s">
        <v>739</v>
      </c>
      <c r="D70" s="303" t="s">
        <v>929</v>
      </c>
      <c r="E70" s="304" t="s">
        <v>30</v>
      </c>
      <c r="F70" s="304">
        <v>30000</v>
      </c>
      <c r="G70" s="304">
        <f t="shared" si="3"/>
        <v>3000</v>
      </c>
      <c r="H70" s="304">
        <f t="shared" si="4"/>
        <v>27000</v>
      </c>
      <c r="I70" s="307">
        <v>44611</v>
      </c>
      <c r="J70" s="321">
        <v>44645</v>
      </c>
      <c r="K70" s="342">
        <f>DATE(YEAR(J70),MONTH(J70)+59,DAY(J70))</f>
        <v>46443</v>
      </c>
      <c r="L70" s="342">
        <f>EDATE(K70,0)</f>
        <v>46443</v>
      </c>
      <c r="M70" s="301">
        <v>60</v>
      </c>
      <c r="N70" s="309">
        <f>+S70/F70</f>
        <v>0</v>
      </c>
      <c r="O70" s="309">
        <f>+T70/F70</f>
        <v>51</v>
      </c>
      <c r="P70" s="309">
        <f t="shared" si="6"/>
        <v>9</v>
      </c>
      <c r="Q70" s="147"/>
      <c r="R70" s="304">
        <f>+F70*M70</f>
        <v>1800000</v>
      </c>
      <c r="S70" s="304">
        <v>0</v>
      </c>
      <c r="T70" s="304">
        <f>'[50]A - 313 '!$D$69</f>
        <v>1530000</v>
      </c>
      <c r="U70" s="304">
        <f t="shared" si="7"/>
        <v>270000</v>
      </c>
    </row>
    <row r="71" spans="1:21" x14ac:dyDescent="0.25">
      <c r="A71" s="239">
        <v>56</v>
      </c>
      <c r="B71" s="159" t="s">
        <v>149</v>
      </c>
      <c r="C71" s="240" t="s">
        <v>625</v>
      </c>
      <c r="D71" s="240" t="s">
        <v>929</v>
      </c>
      <c r="E71" s="241" t="s">
        <v>30</v>
      </c>
      <c r="F71" s="241">
        <v>16000</v>
      </c>
      <c r="G71" s="241">
        <f t="shared" si="3"/>
        <v>1600</v>
      </c>
      <c r="H71" s="241">
        <f t="shared" si="4"/>
        <v>14400</v>
      </c>
      <c r="I71" s="242">
        <v>41827</v>
      </c>
      <c r="J71" s="330">
        <v>41784</v>
      </c>
      <c r="K71" s="349">
        <f t="shared" ref="K71:K121" si="16">DATE(YEAR(J71),MONTH(J71)+99,DAY(J71))</f>
        <v>44798</v>
      </c>
      <c r="L71" s="349">
        <f>EDATE(K71,20)</f>
        <v>45407</v>
      </c>
      <c r="M71" s="239">
        <v>100</v>
      </c>
      <c r="N71" s="246">
        <v>47</v>
      </c>
      <c r="O71" s="246">
        <f>+T71/F71</f>
        <v>53</v>
      </c>
      <c r="P71" s="246">
        <f t="shared" si="6"/>
        <v>0</v>
      </c>
      <c r="R71" s="245">
        <v>1224000</v>
      </c>
      <c r="S71" s="245">
        <f>SUM('[51]A - 314'!$D$9:$D$55)</f>
        <v>376000</v>
      </c>
      <c r="T71" s="245">
        <v>848000</v>
      </c>
      <c r="U71" s="245">
        <f t="shared" si="7"/>
        <v>0</v>
      </c>
    </row>
    <row r="72" spans="1:21" s="165" customFormat="1" x14ac:dyDescent="0.25">
      <c r="A72" s="440" t="s">
        <v>754</v>
      </c>
      <c r="B72" s="441" t="s">
        <v>149</v>
      </c>
      <c r="C72" s="370" t="s">
        <v>890</v>
      </c>
      <c r="D72" s="370" t="s">
        <v>929</v>
      </c>
      <c r="E72" s="442" t="s">
        <v>18</v>
      </c>
      <c r="F72" s="443">
        <v>31000</v>
      </c>
      <c r="G72" s="443"/>
      <c r="H72" s="443">
        <v>31000</v>
      </c>
      <c r="I72" s="444" t="s">
        <v>884</v>
      </c>
      <c r="J72" s="433">
        <v>45942</v>
      </c>
      <c r="K72" s="433"/>
      <c r="L72" s="434">
        <v>47037</v>
      </c>
      <c r="M72" s="440">
        <v>36</v>
      </c>
      <c r="N72" s="436"/>
      <c r="O72" s="436">
        <f>T72/F72</f>
        <v>6</v>
      </c>
      <c r="P72" s="436">
        <f>M72-O72</f>
        <v>30</v>
      </c>
      <c r="R72" s="442">
        <f>F72*M72</f>
        <v>1116000</v>
      </c>
      <c r="S72" s="443"/>
      <c r="T72" s="443">
        <f>'[52]A - 314'!$D$45</f>
        <v>186000</v>
      </c>
      <c r="U72" s="442">
        <f>R72-T72</f>
        <v>930000</v>
      </c>
    </row>
    <row r="73" spans="1:21" s="54" customFormat="1" x14ac:dyDescent="0.25">
      <c r="A73" s="446">
        <v>57</v>
      </c>
      <c r="B73" s="447" t="s">
        <v>947</v>
      </c>
      <c r="C73" s="448" t="s">
        <v>948</v>
      </c>
      <c r="D73" s="448" t="s">
        <v>929</v>
      </c>
      <c r="E73" s="55" t="s">
        <v>18</v>
      </c>
      <c r="F73" s="53">
        <v>31000</v>
      </c>
      <c r="G73" s="53"/>
      <c r="H73" s="53"/>
      <c r="I73" s="449">
        <v>46268</v>
      </c>
      <c r="J73" s="353">
        <v>46299</v>
      </c>
      <c r="K73" s="353"/>
      <c r="L73" s="367">
        <v>46298</v>
      </c>
      <c r="M73" s="446">
        <v>36</v>
      </c>
      <c r="N73" s="391"/>
      <c r="O73" s="391">
        <v>2</v>
      </c>
      <c r="P73" s="391"/>
      <c r="R73" s="55">
        <v>1116000</v>
      </c>
      <c r="S73" s="53"/>
      <c r="T73" s="53">
        <v>62000</v>
      </c>
      <c r="U73" s="55">
        <f>R73-T73</f>
        <v>1054000</v>
      </c>
    </row>
    <row r="74" spans="1:21" s="78" customFormat="1" x14ac:dyDescent="0.25">
      <c r="A74" s="262">
        <v>58</v>
      </c>
      <c r="B74" s="284" t="s">
        <v>154</v>
      </c>
      <c r="C74" s="285" t="s">
        <v>626</v>
      </c>
      <c r="D74" s="263" t="s">
        <v>929</v>
      </c>
      <c r="E74" s="264" t="s">
        <v>18</v>
      </c>
      <c r="F74" s="265">
        <v>22000</v>
      </c>
      <c r="G74" s="265">
        <f t="shared" ref="G74:G103" si="17">+F74*10%</f>
        <v>2200</v>
      </c>
      <c r="H74" s="265">
        <f t="shared" ref="H74:H103" si="18">+F74-G74:G74</f>
        <v>19800</v>
      </c>
      <c r="I74" s="286">
        <v>42122</v>
      </c>
      <c r="J74" s="325">
        <v>42165</v>
      </c>
      <c r="K74" s="331">
        <f t="shared" si="16"/>
        <v>45179</v>
      </c>
      <c r="L74" s="357">
        <f>EDATE(K74,20)</f>
        <v>45787</v>
      </c>
      <c r="M74" s="287">
        <v>100</v>
      </c>
      <c r="N74" s="266">
        <f>+S74/F74</f>
        <v>0</v>
      </c>
      <c r="O74" s="266">
        <v>100</v>
      </c>
      <c r="P74" s="266">
        <f t="shared" ref="P74:P121" si="19">+M74-N74-O74</f>
        <v>0</v>
      </c>
      <c r="Q74" s="178"/>
      <c r="R74" s="267">
        <f>+F74*M74</f>
        <v>2200000</v>
      </c>
      <c r="S74" s="268">
        <v>0</v>
      </c>
      <c r="T74" s="268">
        <v>2200000</v>
      </c>
      <c r="U74" s="267">
        <f t="shared" ref="U74:U121" si="20">+R74-S74-T74</f>
        <v>0</v>
      </c>
    </row>
    <row r="75" spans="1:21" s="78" customFormat="1" x14ac:dyDescent="0.25">
      <c r="A75" s="177"/>
      <c r="B75" s="184" t="s">
        <v>154</v>
      </c>
      <c r="C75" s="185" t="s">
        <v>626</v>
      </c>
      <c r="D75" s="375"/>
      <c r="E75" s="179"/>
      <c r="F75" s="180"/>
      <c r="G75" s="180"/>
      <c r="H75" s="180"/>
      <c r="I75" s="186"/>
      <c r="J75" s="332"/>
      <c r="K75" s="350"/>
      <c r="L75" s="363"/>
      <c r="M75" s="187"/>
      <c r="N75" s="181"/>
      <c r="O75" s="181"/>
      <c r="P75" s="181"/>
      <c r="Q75" s="178"/>
      <c r="R75" s="182"/>
      <c r="S75" s="183"/>
      <c r="T75" s="183"/>
      <c r="U75" s="182"/>
    </row>
    <row r="76" spans="1:21" s="78" customFormat="1" x14ac:dyDescent="0.25">
      <c r="A76" s="262"/>
      <c r="B76" s="284" t="s">
        <v>154</v>
      </c>
      <c r="C76" s="285" t="s">
        <v>626</v>
      </c>
      <c r="D76" s="263"/>
      <c r="E76" s="264" t="s">
        <v>18</v>
      </c>
      <c r="F76" s="265">
        <v>11000</v>
      </c>
      <c r="G76" s="265"/>
      <c r="H76" s="265"/>
      <c r="I76" s="286"/>
      <c r="J76" s="325"/>
      <c r="K76" s="331"/>
      <c r="L76" s="357"/>
      <c r="M76" s="287"/>
      <c r="N76" s="266"/>
      <c r="O76" s="266"/>
      <c r="P76" s="266"/>
      <c r="Q76" s="178"/>
      <c r="R76" s="267"/>
      <c r="S76" s="268"/>
      <c r="T76" s="268"/>
      <c r="U76" s="267"/>
    </row>
    <row r="77" spans="1:21" s="78" customFormat="1" x14ac:dyDescent="0.25">
      <c r="A77" s="262">
        <v>59</v>
      </c>
      <c r="B77" s="284" t="s">
        <v>159</v>
      </c>
      <c r="C77" s="289" t="s">
        <v>627</v>
      </c>
      <c r="D77" s="272" t="s">
        <v>929</v>
      </c>
      <c r="E77" s="264" t="s">
        <v>18</v>
      </c>
      <c r="F77" s="265">
        <v>16000</v>
      </c>
      <c r="G77" s="265">
        <f t="shared" si="17"/>
        <v>1600</v>
      </c>
      <c r="H77" s="265">
        <f t="shared" si="18"/>
        <v>14400</v>
      </c>
      <c r="I77" s="286">
        <v>41712</v>
      </c>
      <c r="J77" s="325">
        <v>41708</v>
      </c>
      <c r="K77" s="331">
        <f t="shared" si="16"/>
        <v>44722</v>
      </c>
      <c r="L77" s="357">
        <f>EDATE(K77,20)</f>
        <v>45332</v>
      </c>
      <c r="M77" s="287">
        <v>100</v>
      </c>
      <c r="N77" s="266">
        <f>+S77/F77</f>
        <v>0</v>
      </c>
      <c r="O77" s="266">
        <v>100</v>
      </c>
      <c r="P77" s="266">
        <f t="shared" si="19"/>
        <v>0</v>
      </c>
      <c r="Q77" s="178"/>
      <c r="R77" s="267">
        <f>+F77*M77</f>
        <v>1600000</v>
      </c>
      <c r="S77" s="268">
        <v>0</v>
      </c>
      <c r="T77" s="268">
        <v>1600000</v>
      </c>
      <c r="U77" s="267">
        <f t="shared" si="20"/>
        <v>0</v>
      </c>
    </row>
    <row r="78" spans="1:21" s="78" customFormat="1" x14ac:dyDescent="0.25">
      <c r="A78" s="177"/>
      <c r="B78" s="184" t="s">
        <v>159</v>
      </c>
      <c r="C78" s="188" t="s">
        <v>627</v>
      </c>
      <c r="D78" s="376"/>
      <c r="E78" s="179"/>
      <c r="F78" s="180">
        <v>12000</v>
      </c>
      <c r="G78" s="180"/>
      <c r="H78" s="180"/>
      <c r="I78" s="186"/>
      <c r="J78" s="332"/>
      <c r="K78" s="350"/>
      <c r="L78" s="363"/>
      <c r="M78" s="187"/>
      <c r="N78" s="181"/>
      <c r="O78" s="181"/>
      <c r="P78" s="181"/>
      <c r="Q78" s="178"/>
      <c r="R78" s="182"/>
      <c r="S78" s="183"/>
      <c r="T78" s="183"/>
      <c r="U78" s="182"/>
    </row>
    <row r="79" spans="1:21" s="78" customFormat="1" x14ac:dyDescent="0.25">
      <c r="A79" s="262"/>
      <c r="B79" s="284" t="s">
        <v>159</v>
      </c>
      <c r="C79" s="289" t="s">
        <v>627</v>
      </c>
      <c r="D79" s="272"/>
      <c r="E79" s="264" t="s">
        <v>800</v>
      </c>
      <c r="F79" s="265">
        <v>12000</v>
      </c>
      <c r="G79" s="265"/>
      <c r="H79" s="265"/>
      <c r="I79" s="286"/>
      <c r="J79" s="325"/>
      <c r="K79" s="331"/>
      <c r="L79" s="357"/>
      <c r="M79" s="287"/>
      <c r="N79" s="266"/>
      <c r="O79" s="266"/>
      <c r="P79" s="266"/>
      <c r="Q79" s="178"/>
      <c r="R79" s="267"/>
      <c r="S79" s="268"/>
      <c r="T79" s="268"/>
      <c r="U79" s="267"/>
    </row>
    <row r="80" spans="1:21" s="78" customFormat="1" x14ac:dyDescent="0.25">
      <c r="A80" s="155">
        <v>60</v>
      </c>
      <c r="B80" s="96" t="s">
        <v>164</v>
      </c>
      <c r="C80" s="94" t="s">
        <v>628</v>
      </c>
      <c r="D80" s="371" t="s">
        <v>929</v>
      </c>
      <c r="E80" s="87" t="s">
        <v>18</v>
      </c>
      <c r="F80" s="88">
        <v>16000</v>
      </c>
      <c r="G80" s="88">
        <f t="shared" si="17"/>
        <v>1600</v>
      </c>
      <c r="H80" s="88">
        <f t="shared" si="18"/>
        <v>14400</v>
      </c>
      <c r="I80" s="89">
        <v>41891</v>
      </c>
      <c r="J80" s="328">
        <v>41892</v>
      </c>
      <c r="K80" s="347">
        <f t="shared" si="16"/>
        <v>44905</v>
      </c>
      <c r="L80" s="361">
        <f>EDATE(K80,20)</f>
        <v>45514</v>
      </c>
      <c r="M80" s="90">
        <v>100</v>
      </c>
      <c r="N80" s="91">
        <v>59</v>
      </c>
      <c r="O80" s="91">
        <v>41</v>
      </c>
      <c r="P80" s="91">
        <f t="shared" si="19"/>
        <v>0</v>
      </c>
      <c r="Q80" s="80"/>
      <c r="R80" s="92">
        <v>1688500</v>
      </c>
      <c r="S80" s="93">
        <v>1032500</v>
      </c>
      <c r="T80" s="93">
        <v>700500</v>
      </c>
      <c r="U80" s="92">
        <v>0</v>
      </c>
    </row>
    <row r="81" spans="1:23" s="162" customFormat="1" x14ac:dyDescent="0.25">
      <c r="A81" s="217"/>
      <c r="B81" s="235" t="s">
        <v>869</v>
      </c>
      <c r="C81" s="161" t="s">
        <v>870</v>
      </c>
      <c r="D81" s="377" t="s">
        <v>929</v>
      </c>
      <c r="E81" s="219" t="s">
        <v>18</v>
      </c>
      <c r="F81" s="220">
        <v>31000</v>
      </c>
      <c r="G81" s="220"/>
      <c r="H81" s="220">
        <v>31000</v>
      </c>
      <c r="I81" s="236" t="s">
        <v>843</v>
      </c>
      <c r="J81" s="327">
        <v>45942</v>
      </c>
      <c r="K81" s="346"/>
      <c r="L81" s="364">
        <v>47037</v>
      </c>
      <c r="M81" s="222">
        <v>36</v>
      </c>
      <c r="N81" s="223"/>
      <c r="O81" s="223">
        <v>6</v>
      </c>
      <c r="P81" s="223">
        <f>M81-O81</f>
        <v>30</v>
      </c>
      <c r="R81" s="224">
        <f>F81*M81</f>
        <v>1116000</v>
      </c>
      <c r="S81" s="225"/>
      <c r="T81" s="225">
        <f>'[53]A - 404.'!$D$45</f>
        <v>186000</v>
      </c>
      <c r="U81" s="224">
        <f>R81-T81</f>
        <v>930000</v>
      </c>
      <c r="W81" s="450"/>
    </row>
    <row r="82" spans="1:23" x14ac:dyDescent="0.25">
      <c r="A82" s="248">
        <v>61</v>
      </c>
      <c r="B82" s="255" t="s">
        <v>169</v>
      </c>
      <c r="C82" s="381" t="s">
        <v>629</v>
      </c>
      <c r="D82" s="381" t="s">
        <v>929</v>
      </c>
      <c r="E82" s="382" t="s">
        <v>30</v>
      </c>
      <c r="F82" s="382">
        <v>21000</v>
      </c>
      <c r="G82" s="382">
        <f t="shared" si="17"/>
        <v>2100</v>
      </c>
      <c r="H82" s="382">
        <f t="shared" si="18"/>
        <v>18900</v>
      </c>
      <c r="I82" s="406">
        <v>42729</v>
      </c>
      <c r="J82" s="388">
        <v>42760</v>
      </c>
      <c r="K82" s="385">
        <f t="shared" si="16"/>
        <v>45772</v>
      </c>
      <c r="L82" s="385">
        <f t="shared" ref="L82:L87" si="21">EDATE(K82,20)</f>
        <v>46381</v>
      </c>
      <c r="M82" s="248">
        <v>100</v>
      </c>
      <c r="N82" s="407">
        <f>+S82/F82</f>
        <v>0</v>
      </c>
      <c r="O82" s="407">
        <f>+T82/F82</f>
        <v>91</v>
      </c>
      <c r="P82" s="407">
        <f t="shared" si="19"/>
        <v>9</v>
      </c>
      <c r="R82" s="382">
        <f>+F82*M82</f>
        <v>2100000</v>
      </c>
      <c r="S82" s="382">
        <v>0</v>
      </c>
      <c r="T82" s="382">
        <f>'[54]A - 405'!$D$121</f>
        <v>1911000</v>
      </c>
      <c r="U82" s="382">
        <f t="shared" si="20"/>
        <v>189000</v>
      </c>
    </row>
    <row r="83" spans="1:23" x14ac:dyDescent="0.25">
      <c r="A83" s="239">
        <v>62</v>
      </c>
      <c r="B83" s="159" t="s">
        <v>172</v>
      </c>
      <c r="C83" s="240" t="s">
        <v>630</v>
      </c>
      <c r="D83" s="240"/>
      <c r="E83" s="241" t="s">
        <v>30</v>
      </c>
      <c r="F83" s="241">
        <v>16000</v>
      </c>
      <c r="G83" s="241">
        <f t="shared" si="17"/>
        <v>1600</v>
      </c>
      <c r="H83" s="241">
        <f t="shared" si="18"/>
        <v>14400</v>
      </c>
      <c r="I83" s="242">
        <v>42010</v>
      </c>
      <c r="J83" s="330">
        <v>42029</v>
      </c>
      <c r="K83" s="349">
        <f t="shared" si="16"/>
        <v>45041</v>
      </c>
      <c r="L83" s="349">
        <f t="shared" si="21"/>
        <v>45651</v>
      </c>
      <c r="M83" s="239">
        <v>100</v>
      </c>
      <c r="N83" s="243">
        <f>+S83/F83</f>
        <v>0</v>
      </c>
      <c r="O83" s="243">
        <f>+T83/F83</f>
        <v>99</v>
      </c>
      <c r="P83" s="243">
        <v>99</v>
      </c>
      <c r="R83" s="241">
        <f>+F83*M83</f>
        <v>1600000</v>
      </c>
      <c r="S83" s="241">
        <v>0</v>
      </c>
      <c r="T83" s="241">
        <v>1584000</v>
      </c>
      <c r="U83" s="241">
        <f t="shared" si="20"/>
        <v>16000</v>
      </c>
    </row>
    <row r="84" spans="1:23" s="78" customFormat="1" x14ac:dyDescent="0.25">
      <c r="A84" s="394">
        <v>63</v>
      </c>
      <c r="B84" s="408" t="s">
        <v>177</v>
      </c>
      <c r="C84" s="33" t="s">
        <v>631</v>
      </c>
      <c r="D84" s="396" t="s">
        <v>929</v>
      </c>
      <c r="E84" s="397" t="s">
        <v>18</v>
      </c>
      <c r="F84" s="398">
        <v>30000</v>
      </c>
      <c r="G84" s="398">
        <f t="shared" si="17"/>
        <v>3000</v>
      </c>
      <c r="H84" s="398">
        <f t="shared" si="18"/>
        <v>27000</v>
      </c>
      <c r="I84" s="409">
        <v>42770</v>
      </c>
      <c r="J84" s="410">
        <v>42776</v>
      </c>
      <c r="K84" s="401">
        <f t="shared" si="16"/>
        <v>45787</v>
      </c>
      <c r="L84" s="402">
        <f t="shared" si="21"/>
        <v>46397</v>
      </c>
      <c r="M84" s="411">
        <v>100</v>
      </c>
      <c r="N84" s="403">
        <f>+S84/F84</f>
        <v>0</v>
      </c>
      <c r="O84" s="403">
        <f>+T84/F84</f>
        <v>90</v>
      </c>
      <c r="P84" s="403">
        <f t="shared" si="19"/>
        <v>10</v>
      </c>
      <c r="Q84" s="2"/>
      <c r="R84" s="404">
        <f>+F84*M84</f>
        <v>3000000</v>
      </c>
      <c r="S84" s="405">
        <v>0</v>
      </c>
      <c r="T84" s="405">
        <f>'[55]A - 407'!$D$121</f>
        <v>2700000</v>
      </c>
      <c r="U84" s="404">
        <f t="shared" si="20"/>
        <v>300000</v>
      </c>
      <c r="V84" s="2"/>
    </row>
    <row r="85" spans="1:23" x14ac:dyDescent="0.25">
      <c r="A85" s="239">
        <v>64</v>
      </c>
      <c r="B85" s="159" t="s">
        <v>182</v>
      </c>
      <c r="C85" s="240" t="s">
        <v>632</v>
      </c>
      <c r="D85" s="240" t="s">
        <v>929</v>
      </c>
      <c r="E85" s="241" t="s">
        <v>30</v>
      </c>
      <c r="F85" s="241">
        <v>16000</v>
      </c>
      <c r="G85" s="241">
        <f t="shared" si="17"/>
        <v>1600</v>
      </c>
      <c r="H85" s="241">
        <f t="shared" si="18"/>
        <v>14400</v>
      </c>
      <c r="I85" s="242">
        <v>41865</v>
      </c>
      <c r="J85" s="330">
        <v>41937</v>
      </c>
      <c r="K85" s="349">
        <f t="shared" si="16"/>
        <v>44951</v>
      </c>
      <c r="L85" s="349">
        <f t="shared" si="21"/>
        <v>45560</v>
      </c>
      <c r="M85" s="239">
        <v>100</v>
      </c>
      <c r="N85" s="246">
        <v>57</v>
      </c>
      <c r="O85" s="246">
        <v>43</v>
      </c>
      <c r="P85" s="246">
        <f t="shared" si="19"/>
        <v>0</v>
      </c>
      <c r="Q85" s="80"/>
      <c r="R85" s="245">
        <v>1714000</v>
      </c>
      <c r="S85" s="245">
        <v>1026000</v>
      </c>
      <c r="T85" s="245">
        <v>688000</v>
      </c>
      <c r="U85" s="245">
        <f t="shared" si="20"/>
        <v>0</v>
      </c>
    </row>
    <row r="86" spans="1:23" s="78" customFormat="1" ht="16.5" customHeight="1" x14ac:dyDescent="0.25">
      <c r="A86" s="262">
        <v>65</v>
      </c>
      <c r="B86" s="27" t="s">
        <v>187</v>
      </c>
      <c r="C86" s="34" t="s">
        <v>925</v>
      </c>
      <c r="D86" s="448" t="s">
        <v>929</v>
      </c>
      <c r="E86" s="30" t="s">
        <v>18</v>
      </c>
      <c r="F86" s="19">
        <v>30000</v>
      </c>
      <c r="G86" s="19">
        <f t="shared" si="17"/>
        <v>3000</v>
      </c>
      <c r="H86" s="19">
        <f t="shared" si="18"/>
        <v>27000</v>
      </c>
      <c r="I86" s="103">
        <v>43154</v>
      </c>
      <c r="J86" s="339">
        <v>43169</v>
      </c>
      <c r="K86" s="353">
        <f t="shared" si="16"/>
        <v>46183</v>
      </c>
      <c r="L86" s="367">
        <f t="shared" si="21"/>
        <v>46793</v>
      </c>
      <c r="M86" s="28">
        <v>100</v>
      </c>
      <c r="N86" s="391">
        <f>+S86/F86</f>
        <v>0</v>
      </c>
      <c r="O86" s="391">
        <f>+T86/F86</f>
        <v>77.5</v>
      </c>
      <c r="P86" s="391">
        <f t="shared" si="19"/>
        <v>22.5</v>
      </c>
      <c r="Q86" s="2"/>
      <c r="R86" s="102">
        <f>+F86*M86</f>
        <v>3000000</v>
      </c>
      <c r="S86" s="392">
        <v>0</v>
      </c>
      <c r="T86" s="392">
        <f>'[56]A - 409'!$D$109</f>
        <v>2325000</v>
      </c>
      <c r="U86" s="102">
        <f t="shared" si="20"/>
        <v>675000</v>
      </c>
      <c r="V86" s="2"/>
    </row>
    <row r="87" spans="1:23" s="78" customFormat="1" x14ac:dyDescent="0.25">
      <c r="A87" s="155">
        <v>66</v>
      </c>
      <c r="B87" s="96" t="s">
        <v>190</v>
      </c>
      <c r="C87" s="99" t="s">
        <v>633</v>
      </c>
      <c r="D87" s="373" t="s">
        <v>929</v>
      </c>
      <c r="E87" s="87" t="s">
        <v>18</v>
      </c>
      <c r="F87" s="88">
        <v>16000</v>
      </c>
      <c r="G87" s="88">
        <f t="shared" si="17"/>
        <v>1600</v>
      </c>
      <c r="H87" s="88">
        <f t="shared" si="18"/>
        <v>14400</v>
      </c>
      <c r="I87" s="89">
        <v>41856</v>
      </c>
      <c r="J87" s="328">
        <v>41892</v>
      </c>
      <c r="K87" s="347">
        <f t="shared" si="16"/>
        <v>44905</v>
      </c>
      <c r="L87" s="361">
        <f t="shared" si="21"/>
        <v>45514</v>
      </c>
      <c r="M87" s="90">
        <v>100</v>
      </c>
      <c r="N87" s="91">
        <v>57</v>
      </c>
      <c r="O87" s="91">
        <v>43</v>
      </c>
      <c r="P87" s="91">
        <f t="shared" si="19"/>
        <v>0</v>
      </c>
      <c r="Q87" s="80"/>
      <c r="R87" s="92">
        <v>1714000</v>
      </c>
      <c r="S87" s="93">
        <f>SUM('[57]A - 410'!$D$9:$D$65)</f>
        <v>1026000</v>
      </c>
      <c r="T87" s="93">
        <f>R87-S87</f>
        <v>688000</v>
      </c>
      <c r="U87" s="92">
        <f t="shared" si="20"/>
        <v>0</v>
      </c>
      <c r="V87" s="2"/>
    </row>
    <row r="88" spans="1:23" s="162" customFormat="1" x14ac:dyDescent="0.25">
      <c r="A88" s="217"/>
      <c r="B88" s="235" t="s">
        <v>190</v>
      </c>
      <c r="C88" s="161" t="s">
        <v>891</v>
      </c>
      <c r="D88" s="377" t="s">
        <v>929</v>
      </c>
      <c r="E88" s="219" t="s">
        <v>888</v>
      </c>
      <c r="F88" s="220">
        <v>31000</v>
      </c>
      <c r="G88" s="220"/>
      <c r="H88" s="220">
        <f t="shared" si="18"/>
        <v>31000</v>
      </c>
      <c r="I88" s="221" t="s">
        <v>845</v>
      </c>
      <c r="J88" s="327">
        <v>45939</v>
      </c>
      <c r="K88" s="346"/>
      <c r="L88" s="364">
        <v>47034</v>
      </c>
      <c r="M88" s="222">
        <v>36</v>
      </c>
      <c r="N88" s="223"/>
      <c r="O88" s="223">
        <f>T88/F88</f>
        <v>9</v>
      </c>
      <c r="P88" s="223">
        <f>M88-O88</f>
        <v>27</v>
      </c>
      <c r="R88" s="224">
        <f>F88*M88</f>
        <v>1116000</v>
      </c>
      <c r="S88" s="225"/>
      <c r="T88" s="225">
        <f>'[58]A - 410'!$D$45</f>
        <v>279000</v>
      </c>
      <c r="U88" s="224">
        <f>R88-T88</f>
        <v>837000</v>
      </c>
      <c r="V88" s="162" t="s">
        <v>903</v>
      </c>
    </row>
    <row r="89" spans="1:23" s="78" customFormat="1" x14ac:dyDescent="0.25">
      <c r="A89" s="239">
        <v>67</v>
      </c>
      <c r="B89" s="159" t="s">
        <v>195</v>
      </c>
      <c r="C89" s="240" t="s">
        <v>634</v>
      </c>
      <c r="D89" s="240" t="s">
        <v>929</v>
      </c>
      <c r="E89" s="241" t="s">
        <v>30</v>
      </c>
      <c r="F89" s="241">
        <v>16000</v>
      </c>
      <c r="G89" s="241">
        <f t="shared" si="17"/>
        <v>1600</v>
      </c>
      <c r="H89" s="241">
        <f t="shared" si="18"/>
        <v>14400</v>
      </c>
      <c r="I89" s="242">
        <v>41883</v>
      </c>
      <c r="J89" s="330">
        <v>41876</v>
      </c>
      <c r="K89" s="349">
        <f t="shared" si="16"/>
        <v>44890</v>
      </c>
      <c r="L89" s="349">
        <f>EDATE(K89,20)</f>
        <v>45498</v>
      </c>
      <c r="M89" s="239">
        <v>100</v>
      </c>
      <c r="N89" s="246">
        <v>58</v>
      </c>
      <c r="O89" s="246">
        <f>+T89/F89</f>
        <v>0</v>
      </c>
      <c r="P89" s="246">
        <f t="shared" si="19"/>
        <v>42</v>
      </c>
      <c r="Q89" s="80"/>
      <c r="R89" s="245">
        <v>1890000</v>
      </c>
      <c r="S89" s="245">
        <f>SUM('[59]A - 411'!$D$9:$D$66)</f>
        <v>1218000</v>
      </c>
      <c r="T89" s="245">
        <f>SUM('[60]Master File'!$D$67:$D$122)</f>
        <v>0</v>
      </c>
      <c r="U89" s="245">
        <f t="shared" si="20"/>
        <v>672000</v>
      </c>
    </row>
    <row r="90" spans="1:23" s="162" customFormat="1" x14ac:dyDescent="0.25">
      <c r="A90" s="248"/>
      <c r="B90" s="255" t="s">
        <v>871</v>
      </c>
      <c r="C90" s="381" t="s">
        <v>872</v>
      </c>
      <c r="D90" s="381" t="s">
        <v>929</v>
      </c>
      <c r="E90" s="382" t="s">
        <v>860</v>
      </c>
      <c r="F90" s="382">
        <v>0</v>
      </c>
      <c r="G90" s="382">
        <f t="shared" si="17"/>
        <v>0</v>
      </c>
      <c r="H90" s="382">
        <v>31000</v>
      </c>
      <c r="I90" s="406" t="s">
        <v>873</v>
      </c>
      <c r="J90" s="388" t="s">
        <v>867</v>
      </c>
      <c r="K90" s="385"/>
      <c r="L90" s="385" t="s">
        <v>843</v>
      </c>
      <c r="M90" s="248">
        <v>36</v>
      </c>
      <c r="N90" s="254"/>
      <c r="O90" s="254">
        <v>7</v>
      </c>
      <c r="P90" s="254">
        <f>M90-O90</f>
        <v>29</v>
      </c>
      <c r="Q90" s="2"/>
      <c r="R90" s="251">
        <v>1116000</v>
      </c>
      <c r="S90" s="251"/>
      <c r="T90" s="251">
        <f>'[61]A - 411'!$D$40</f>
        <v>217000</v>
      </c>
      <c r="U90" s="251">
        <f>R90-T90</f>
        <v>899000</v>
      </c>
      <c r="V90" s="2"/>
    </row>
    <row r="91" spans="1:23" x14ac:dyDescent="0.25">
      <c r="A91" s="248">
        <v>68</v>
      </c>
      <c r="B91" s="255" t="s">
        <v>199</v>
      </c>
      <c r="C91" s="381" t="s">
        <v>635</v>
      </c>
      <c r="D91" s="381" t="s">
        <v>929</v>
      </c>
      <c r="E91" s="382" t="s">
        <v>30</v>
      </c>
      <c r="F91" s="382">
        <v>25000</v>
      </c>
      <c r="G91" s="382">
        <f t="shared" si="17"/>
        <v>2500</v>
      </c>
      <c r="H91" s="382">
        <f t="shared" si="18"/>
        <v>22500</v>
      </c>
      <c r="I91" s="406">
        <v>42558</v>
      </c>
      <c r="J91" s="388">
        <v>42561</v>
      </c>
      <c r="K91" s="385">
        <f t="shared" si="16"/>
        <v>45575</v>
      </c>
      <c r="L91" s="385">
        <f>EDATE(K91,20)</f>
        <v>46183</v>
      </c>
      <c r="M91" s="248">
        <v>100</v>
      </c>
      <c r="N91" s="254">
        <v>12</v>
      </c>
      <c r="O91" s="407">
        <f>+T91/F91</f>
        <v>85</v>
      </c>
      <c r="P91" s="254">
        <f>M91-N91-O91</f>
        <v>3</v>
      </c>
      <c r="R91" s="251">
        <v>2384800</v>
      </c>
      <c r="S91" s="251">
        <f>SUM('[62]A - 412'!$D$9:$D$20)</f>
        <v>184800</v>
      </c>
      <c r="T91" s="251">
        <v>2125000</v>
      </c>
      <c r="U91" s="251">
        <f>R91-S91-T91</f>
        <v>75000</v>
      </c>
    </row>
    <row r="92" spans="1:23" s="78" customFormat="1" x14ac:dyDescent="0.25">
      <c r="A92" s="63">
        <v>69</v>
      </c>
      <c r="B92" s="27" t="s">
        <v>203</v>
      </c>
      <c r="C92" s="33" t="s">
        <v>636</v>
      </c>
      <c r="D92" s="396" t="s">
        <v>929</v>
      </c>
      <c r="E92" s="30" t="s">
        <v>18</v>
      </c>
      <c r="F92" s="19">
        <v>16000</v>
      </c>
      <c r="G92" s="19">
        <f t="shared" si="17"/>
        <v>1600</v>
      </c>
      <c r="H92" s="19">
        <f t="shared" si="18"/>
        <v>14400</v>
      </c>
      <c r="I92" s="103">
        <v>41827</v>
      </c>
      <c r="J92" s="339">
        <v>41861</v>
      </c>
      <c r="K92" s="353">
        <f t="shared" si="16"/>
        <v>44875</v>
      </c>
      <c r="L92" s="367">
        <f>EDATE(K92,20)</f>
        <v>45483</v>
      </c>
      <c r="M92" s="28">
        <v>100</v>
      </c>
      <c r="N92" s="391">
        <v>58</v>
      </c>
      <c r="O92" s="391">
        <v>42</v>
      </c>
      <c r="P92" s="391">
        <f t="shared" si="19"/>
        <v>0</v>
      </c>
      <c r="Q92" s="2"/>
      <c r="R92" s="102">
        <v>1716000</v>
      </c>
      <c r="S92" s="392">
        <f>SUM('[63]A - 413'!$D$9:$D$66)</f>
        <v>1044000</v>
      </c>
      <c r="T92" s="392">
        <f>R92-S92</f>
        <v>672000</v>
      </c>
      <c r="U92" s="102">
        <f t="shared" si="20"/>
        <v>0</v>
      </c>
      <c r="V92" s="2"/>
    </row>
    <row r="93" spans="1:23" s="78" customFormat="1" x14ac:dyDescent="0.25">
      <c r="A93" s="63"/>
      <c r="B93" s="27" t="s">
        <v>203</v>
      </c>
      <c r="C93" s="33" t="s">
        <v>636</v>
      </c>
      <c r="D93" s="396"/>
      <c r="E93" s="30"/>
      <c r="F93" s="19"/>
      <c r="G93" s="19"/>
      <c r="H93" s="19"/>
      <c r="I93" s="103"/>
      <c r="J93" s="339"/>
      <c r="K93" s="353"/>
      <c r="L93" s="367"/>
      <c r="M93" s="28"/>
      <c r="N93" s="391"/>
      <c r="O93" s="391"/>
      <c r="P93" s="391"/>
      <c r="Q93" s="2"/>
      <c r="R93" s="102"/>
      <c r="S93" s="392"/>
      <c r="T93" s="392"/>
      <c r="U93" s="102"/>
      <c r="V93" s="2"/>
    </row>
    <row r="94" spans="1:23" s="78" customFormat="1" x14ac:dyDescent="0.25">
      <c r="A94" s="63"/>
      <c r="B94" s="27" t="s">
        <v>203</v>
      </c>
      <c r="C94" s="33" t="s">
        <v>927</v>
      </c>
      <c r="D94" s="396"/>
      <c r="E94" s="30" t="s">
        <v>888</v>
      </c>
      <c r="F94" s="19"/>
      <c r="G94" s="19"/>
      <c r="H94" s="19"/>
      <c r="I94" s="103"/>
      <c r="J94" s="339"/>
      <c r="K94" s="353"/>
      <c r="L94" s="367"/>
      <c r="M94" s="28"/>
      <c r="N94" s="391"/>
      <c r="O94" s="391"/>
      <c r="P94" s="391"/>
      <c r="Q94" s="2"/>
      <c r="R94" s="102"/>
      <c r="S94" s="392"/>
      <c r="T94" s="392"/>
      <c r="U94" s="102"/>
      <c r="V94" s="2"/>
    </row>
    <row r="95" spans="1:23" s="78" customFormat="1" x14ac:dyDescent="0.25">
      <c r="A95" s="63">
        <v>70</v>
      </c>
      <c r="B95" s="27" t="s">
        <v>208</v>
      </c>
      <c r="C95" s="33" t="s">
        <v>637</v>
      </c>
      <c r="D95" s="396" t="s">
        <v>929</v>
      </c>
      <c r="E95" s="30" t="s">
        <v>18</v>
      </c>
      <c r="F95" s="19">
        <v>30000</v>
      </c>
      <c r="G95" s="19">
        <f t="shared" si="17"/>
        <v>3000</v>
      </c>
      <c r="H95" s="19">
        <f t="shared" si="18"/>
        <v>27000</v>
      </c>
      <c r="I95" s="103">
        <v>42770</v>
      </c>
      <c r="J95" s="339">
        <v>42776</v>
      </c>
      <c r="K95" s="353">
        <f t="shared" si="16"/>
        <v>45787</v>
      </c>
      <c r="L95" s="367">
        <f>EDATE(K95,20)</f>
        <v>46397</v>
      </c>
      <c r="M95" s="28">
        <v>100</v>
      </c>
      <c r="N95" s="391">
        <f>+S95/F95</f>
        <v>0</v>
      </c>
      <c r="O95" s="391">
        <f>+T95/F95</f>
        <v>90</v>
      </c>
      <c r="P95" s="391">
        <f t="shared" si="19"/>
        <v>10</v>
      </c>
      <c r="Q95" s="2"/>
      <c r="R95" s="102">
        <f>+F95*M95</f>
        <v>3000000</v>
      </c>
      <c r="S95" s="392">
        <v>0</v>
      </c>
      <c r="T95" s="392">
        <f>'[64]A - 414'!$D$121</f>
        <v>2700000</v>
      </c>
      <c r="U95" s="102">
        <f t="shared" si="20"/>
        <v>300000</v>
      </c>
      <c r="V95" s="2"/>
    </row>
    <row r="96" spans="1:23" s="78" customFormat="1" x14ac:dyDescent="0.25">
      <c r="A96" s="208">
        <v>71</v>
      </c>
      <c r="B96" s="209" t="s">
        <v>211</v>
      </c>
      <c r="C96" s="99" t="s">
        <v>638</v>
      </c>
      <c r="D96" s="373" t="s">
        <v>929</v>
      </c>
      <c r="E96" s="210" t="s">
        <v>18</v>
      </c>
      <c r="F96" s="505" t="s">
        <v>979</v>
      </c>
      <c r="G96" s="211">
        <f t="shared" si="17"/>
        <v>1600</v>
      </c>
      <c r="H96" s="211">
        <f t="shared" si="18"/>
        <v>14400</v>
      </c>
      <c r="I96" s="212">
        <v>41780</v>
      </c>
      <c r="J96" s="326">
        <v>41800</v>
      </c>
      <c r="K96" s="345">
        <f t="shared" si="16"/>
        <v>44814</v>
      </c>
      <c r="L96" s="359">
        <f>EDATE(K96,20)</f>
        <v>45422</v>
      </c>
      <c r="M96" s="213">
        <v>100</v>
      </c>
      <c r="N96" s="214">
        <f>+S96/F96</f>
        <v>0</v>
      </c>
      <c r="O96" s="214">
        <f>+T96/F96</f>
        <v>100</v>
      </c>
      <c r="P96" s="214">
        <v>0</v>
      </c>
      <c r="Q96" s="80"/>
      <c r="R96" s="215">
        <f>+F96*M96</f>
        <v>1600000</v>
      </c>
      <c r="S96" s="216">
        <v>0</v>
      </c>
      <c r="T96" s="216">
        <v>1600000</v>
      </c>
      <c r="U96" s="215">
        <f t="shared" si="20"/>
        <v>0</v>
      </c>
    </row>
    <row r="97" spans="1:22" s="162" customFormat="1" x14ac:dyDescent="0.25">
      <c r="A97" s="413"/>
      <c r="B97" s="414" t="s">
        <v>211</v>
      </c>
      <c r="C97" s="451" t="s">
        <v>892</v>
      </c>
      <c r="D97" s="451" t="s">
        <v>929</v>
      </c>
      <c r="E97" s="416" t="s">
        <v>30</v>
      </c>
      <c r="F97" s="452" t="s">
        <v>894</v>
      </c>
      <c r="G97" s="416"/>
      <c r="H97" s="416">
        <f t="shared" si="18"/>
        <v>31000</v>
      </c>
      <c r="I97" s="453" t="s">
        <v>893</v>
      </c>
      <c r="J97" s="418" t="s">
        <v>856</v>
      </c>
      <c r="K97" s="419"/>
      <c r="L97" s="419" t="s">
        <v>857</v>
      </c>
      <c r="M97" s="413">
        <v>36</v>
      </c>
      <c r="N97" s="420"/>
      <c r="O97" s="420">
        <f>T97/F97</f>
        <v>6</v>
      </c>
      <c r="P97" s="420">
        <f>M97-O97</f>
        <v>30</v>
      </c>
      <c r="Q97" s="164"/>
      <c r="R97" s="421">
        <f>F97*M97</f>
        <v>1116000</v>
      </c>
      <c r="S97" s="421"/>
      <c r="T97" s="421">
        <f>'[65]A - 501'!$D$45</f>
        <v>186000</v>
      </c>
      <c r="U97" s="421">
        <f>R97-T97</f>
        <v>930000</v>
      </c>
    </row>
    <row r="98" spans="1:22" s="78" customFormat="1" x14ac:dyDescent="0.25">
      <c r="A98" s="208">
        <v>72</v>
      </c>
      <c r="B98" s="226" t="s">
        <v>214</v>
      </c>
      <c r="C98" s="99" t="s">
        <v>639</v>
      </c>
      <c r="D98" s="373" t="s">
        <v>929</v>
      </c>
      <c r="E98" s="210" t="s">
        <v>18</v>
      </c>
      <c r="F98" s="211">
        <v>16000</v>
      </c>
      <c r="G98" s="211">
        <f t="shared" si="17"/>
        <v>1600</v>
      </c>
      <c r="H98" s="211">
        <f t="shared" si="18"/>
        <v>14400</v>
      </c>
      <c r="I98" s="212">
        <v>41921</v>
      </c>
      <c r="J98" s="326">
        <v>41953</v>
      </c>
      <c r="K98" s="345">
        <f t="shared" si="16"/>
        <v>44967</v>
      </c>
      <c r="L98" s="359">
        <f>EDATE(K98,20)</f>
        <v>45575</v>
      </c>
      <c r="M98" s="213">
        <v>100</v>
      </c>
      <c r="N98" s="214">
        <v>55</v>
      </c>
      <c r="O98" s="214">
        <v>45</v>
      </c>
      <c r="P98" s="214">
        <f t="shared" si="19"/>
        <v>0</v>
      </c>
      <c r="Q98" s="2"/>
      <c r="R98" s="215">
        <v>1710000</v>
      </c>
      <c r="S98" s="216">
        <f>SUM('[66]A - 502 Amit Aggarwal'!$D$9:$D$63)</f>
        <v>990000</v>
      </c>
      <c r="T98" s="216">
        <f>R98-S98</f>
        <v>720000</v>
      </c>
      <c r="U98" s="215"/>
    </row>
    <row r="99" spans="1:22" x14ac:dyDescent="0.25">
      <c r="A99" s="413"/>
      <c r="B99" s="157" t="s">
        <v>858</v>
      </c>
      <c r="C99" s="451" t="s">
        <v>859</v>
      </c>
      <c r="D99" s="451" t="s">
        <v>929</v>
      </c>
      <c r="E99" s="416" t="s">
        <v>860</v>
      </c>
      <c r="F99" s="416">
        <v>31000</v>
      </c>
      <c r="G99" s="416"/>
      <c r="H99" s="416">
        <v>31000</v>
      </c>
      <c r="I99" s="417" t="s">
        <v>861</v>
      </c>
      <c r="J99" s="418" t="s">
        <v>862</v>
      </c>
      <c r="K99" s="419"/>
      <c r="L99" s="419" t="s">
        <v>813</v>
      </c>
      <c r="M99" s="413">
        <v>36</v>
      </c>
      <c r="N99" s="420"/>
      <c r="O99" s="420">
        <v>13</v>
      </c>
      <c r="P99" s="420">
        <f>M99-O99</f>
        <v>23</v>
      </c>
      <c r="Q99" s="164"/>
      <c r="R99" s="421">
        <v>1116000</v>
      </c>
      <c r="S99" s="421"/>
      <c r="T99" s="421">
        <f>'[67]A - 502'!$D$45</f>
        <v>403000</v>
      </c>
      <c r="U99" s="421">
        <f>R99-T99</f>
        <v>713000</v>
      </c>
    </row>
    <row r="100" spans="1:22" s="78" customFormat="1" x14ac:dyDescent="0.25">
      <c r="A100" s="208">
        <v>73</v>
      </c>
      <c r="B100" s="226" t="s">
        <v>219</v>
      </c>
      <c r="C100" s="99" t="s">
        <v>640</v>
      </c>
      <c r="D100" s="373" t="s">
        <v>929</v>
      </c>
      <c r="E100" s="210" t="s">
        <v>18</v>
      </c>
      <c r="F100" s="211">
        <v>16000</v>
      </c>
      <c r="G100" s="211">
        <f t="shared" si="17"/>
        <v>1600</v>
      </c>
      <c r="H100" s="211">
        <f t="shared" si="18"/>
        <v>14400</v>
      </c>
      <c r="I100" s="212">
        <v>41711</v>
      </c>
      <c r="J100" s="326">
        <v>41739</v>
      </c>
      <c r="K100" s="345">
        <f t="shared" si="16"/>
        <v>44752</v>
      </c>
      <c r="L100" s="359">
        <f>EDATE(K100,20)</f>
        <v>45361</v>
      </c>
      <c r="M100" s="213">
        <v>100</v>
      </c>
      <c r="N100" s="214">
        <f>+S100/F100</f>
        <v>0</v>
      </c>
      <c r="O100" s="214">
        <f>+T100/F100</f>
        <v>100</v>
      </c>
      <c r="P100" s="214">
        <f t="shared" si="19"/>
        <v>0</v>
      </c>
      <c r="Q100" s="80"/>
      <c r="R100" s="215">
        <f>+F100*M100</f>
        <v>1600000</v>
      </c>
      <c r="S100" s="216">
        <v>0</v>
      </c>
      <c r="T100" s="216">
        <f>'[68]A - 503'!$D$123</f>
        <v>1600000</v>
      </c>
      <c r="U100" s="215">
        <f t="shared" si="20"/>
        <v>0</v>
      </c>
    </row>
    <row r="101" spans="1:22" x14ac:dyDescent="0.25">
      <c r="A101" s="413"/>
      <c r="B101" s="157" t="s">
        <v>915</v>
      </c>
      <c r="C101" s="451" t="s">
        <v>916</v>
      </c>
      <c r="D101" s="451" t="s">
        <v>929</v>
      </c>
      <c r="E101" s="416" t="s">
        <v>30</v>
      </c>
      <c r="F101" s="416">
        <v>32000</v>
      </c>
      <c r="G101" s="416"/>
      <c r="H101" s="416">
        <v>32000</v>
      </c>
      <c r="I101" s="417" t="s">
        <v>917</v>
      </c>
      <c r="J101" s="418" t="s">
        <v>918</v>
      </c>
      <c r="K101" s="419"/>
      <c r="L101" s="419" t="s">
        <v>919</v>
      </c>
      <c r="M101" s="413">
        <v>36</v>
      </c>
      <c r="N101" s="420"/>
      <c r="O101" s="420">
        <f>T101/F101</f>
        <v>4</v>
      </c>
      <c r="P101" s="420">
        <f>M101-O101</f>
        <v>32</v>
      </c>
      <c r="Q101" s="164"/>
      <c r="R101" s="421">
        <f>M101*F101</f>
        <v>1152000</v>
      </c>
      <c r="S101" s="421"/>
      <c r="T101" s="421">
        <f>'[69]A - 503'!$D$45</f>
        <v>128000</v>
      </c>
      <c r="U101" s="421">
        <f>R101-T101</f>
        <v>1024000</v>
      </c>
    </row>
    <row r="102" spans="1:22" s="78" customFormat="1" x14ac:dyDescent="0.25">
      <c r="A102" s="63">
        <v>74</v>
      </c>
      <c r="B102" s="27" t="s">
        <v>221</v>
      </c>
      <c r="C102" s="454" t="s">
        <v>641</v>
      </c>
      <c r="D102" s="455" t="s">
        <v>929</v>
      </c>
      <c r="E102" s="456" t="s">
        <v>18</v>
      </c>
      <c r="F102" s="19">
        <v>30000</v>
      </c>
      <c r="G102" s="19">
        <f t="shared" si="17"/>
        <v>3000</v>
      </c>
      <c r="H102" s="19">
        <f t="shared" si="18"/>
        <v>27000</v>
      </c>
      <c r="I102" s="103">
        <v>43878</v>
      </c>
      <c r="J102" s="339">
        <v>43900</v>
      </c>
      <c r="K102" s="353">
        <f t="shared" si="16"/>
        <v>46914</v>
      </c>
      <c r="L102" s="367">
        <f>EDATE(K102,20)</f>
        <v>47524</v>
      </c>
      <c r="M102" s="28">
        <v>100</v>
      </c>
      <c r="N102" s="391">
        <f>+S102/F102</f>
        <v>0</v>
      </c>
      <c r="O102" s="391">
        <f>+T102/F102</f>
        <v>54.5</v>
      </c>
      <c r="P102" s="391">
        <f t="shared" si="19"/>
        <v>45.5</v>
      </c>
      <c r="Q102" s="2"/>
      <c r="R102" s="102">
        <f>+F102*M102</f>
        <v>3000000</v>
      </c>
      <c r="S102" s="392">
        <v>0</v>
      </c>
      <c r="T102" s="392">
        <f>'[70]A - 504'!$D$121</f>
        <v>1635000</v>
      </c>
      <c r="U102" s="102">
        <f t="shared" si="20"/>
        <v>1365000</v>
      </c>
    </row>
    <row r="103" spans="1:22" s="80" customFormat="1" x14ac:dyDescent="0.25">
      <c r="A103" s="155">
        <v>75</v>
      </c>
      <c r="B103" s="85" t="s">
        <v>226</v>
      </c>
      <c r="C103" s="99" t="s">
        <v>227</v>
      </c>
      <c r="D103" s="373" t="s">
        <v>929</v>
      </c>
      <c r="E103" s="87" t="s">
        <v>18</v>
      </c>
      <c r="F103" s="88">
        <v>22000</v>
      </c>
      <c r="G103" s="88">
        <f t="shared" si="17"/>
        <v>2200</v>
      </c>
      <c r="H103" s="88">
        <f t="shared" si="18"/>
        <v>19800</v>
      </c>
      <c r="I103" s="89">
        <v>42024</v>
      </c>
      <c r="J103" s="328">
        <v>42045</v>
      </c>
      <c r="K103" s="347">
        <f t="shared" si="16"/>
        <v>45056</v>
      </c>
      <c r="L103" s="361">
        <f>EDATE(K103,20)</f>
        <v>45667</v>
      </c>
      <c r="M103" s="90">
        <v>100</v>
      </c>
      <c r="N103" s="91">
        <f>+S103/F103</f>
        <v>0</v>
      </c>
      <c r="O103" s="91">
        <v>99</v>
      </c>
      <c r="P103" s="91">
        <f t="shared" si="19"/>
        <v>1</v>
      </c>
      <c r="Q103" s="2"/>
      <c r="R103" s="92">
        <f>+F103*M103</f>
        <v>2200000</v>
      </c>
      <c r="S103" s="93">
        <v>0</v>
      </c>
      <c r="T103" s="93">
        <f>'[71]A - 505'!$D$123</f>
        <v>2178000</v>
      </c>
      <c r="U103" s="92">
        <f t="shared" si="20"/>
        <v>22000</v>
      </c>
    </row>
    <row r="104" spans="1:22" s="78" customFormat="1" x14ac:dyDescent="0.25">
      <c r="A104" s="63">
        <v>76</v>
      </c>
      <c r="B104" s="31" t="s">
        <v>722</v>
      </c>
      <c r="C104" s="33" t="s">
        <v>723</v>
      </c>
      <c r="D104" s="396" t="s">
        <v>929</v>
      </c>
      <c r="E104" s="30" t="s">
        <v>18</v>
      </c>
      <c r="F104" s="19">
        <v>30000</v>
      </c>
      <c r="G104" s="19">
        <v>3000</v>
      </c>
      <c r="H104" s="19">
        <v>27000</v>
      </c>
      <c r="I104" s="103">
        <v>44540</v>
      </c>
      <c r="J104" s="339">
        <v>44571</v>
      </c>
      <c r="K104" s="353">
        <f t="shared" si="16"/>
        <v>47583</v>
      </c>
      <c r="L104" s="367">
        <f>EDATE(K104,0)</f>
        <v>47583</v>
      </c>
      <c r="M104" s="28">
        <v>100</v>
      </c>
      <c r="N104" s="391">
        <f>+S104/F104</f>
        <v>0</v>
      </c>
      <c r="O104" s="391">
        <f>+T104/F104</f>
        <v>53</v>
      </c>
      <c r="P104" s="391">
        <f t="shared" si="19"/>
        <v>47</v>
      </c>
      <c r="Q104" s="2"/>
      <c r="R104" s="102">
        <f>+F104*M104</f>
        <v>3000000</v>
      </c>
      <c r="S104" s="392">
        <v>0</v>
      </c>
      <c r="T104" s="392">
        <f>'[72]A - 506'!$D$109</f>
        <v>1590000</v>
      </c>
      <c r="U104" s="102">
        <f t="shared" si="20"/>
        <v>1410000</v>
      </c>
    </row>
    <row r="105" spans="1:22" s="78" customFormat="1" x14ac:dyDescent="0.25">
      <c r="A105" s="63">
        <v>77</v>
      </c>
      <c r="B105" s="27" t="s">
        <v>231</v>
      </c>
      <c r="C105" s="33" t="s">
        <v>642</v>
      </c>
      <c r="D105" s="396" t="s">
        <v>929</v>
      </c>
      <c r="E105" s="30" t="s">
        <v>18</v>
      </c>
      <c r="F105" s="19">
        <v>16000</v>
      </c>
      <c r="G105" s="19">
        <f t="shared" ref="G105:G148" si="22">+F105*10%</f>
        <v>1600</v>
      </c>
      <c r="H105" s="19">
        <f t="shared" ref="H105:H148" si="23">+F105-G105:G105</f>
        <v>14400</v>
      </c>
      <c r="I105" s="103">
        <v>41825</v>
      </c>
      <c r="J105" s="339">
        <v>41861</v>
      </c>
      <c r="K105" s="353">
        <f t="shared" si="16"/>
        <v>44875</v>
      </c>
      <c r="L105" s="367">
        <f>EDATE(K105,20)</f>
        <v>45483</v>
      </c>
      <c r="M105" s="28">
        <v>100</v>
      </c>
      <c r="N105" s="391" t="e">
        <f>+S105/#REF!</f>
        <v>#REF!</v>
      </c>
      <c r="O105" s="391">
        <v>42</v>
      </c>
      <c r="P105" s="391">
        <v>0</v>
      </c>
      <c r="Q105" s="2"/>
      <c r="R105" s="102" t="e">
        <f>+#REF!*N105+F105*(100-N105)</f>
        <v>#REF!</v>
      </c>
      <c r="S105" s="392">
        <f>SUM('[73]A - 507 VEENA SAHNI'!$D$9:$D$66)</f>
        <v>1044000</v>
      </c>
      <c r="T105" s="392">
        <v>672000</v>
      </c>
      <c r="U105" s="102" t="e">
        <f t="shared" si="20"/>
        <v>#REF!</v>
      </c>
    </row>
    <row r="106" spans="1:22" s="78" customFormat="1" x14ac:dyDescent="0.25">
      <c r="A106" s="63"/>
      <c r="B106" s="27" t="s">
        <v>231</v>
      </c>
      <c r="C106" s="33" t="s">
        <v>642</v>
      </c>
      <c r="D106" s="396"/>
      <c r="E106" s="30" t="s">
        <v>800</v>
      </c>
      <c r="F106" s="19"/>
      <c r="G106" s="19"/>
      <c r="H106" s="19"/>
      <c r="I106" s="103"/>
      <c r="J106" s="339"/>
      <c r="K106" s="353"/>
      <c r="L106" s="367"/>
      <c r="M106" s="28">
        <v>24</v>
      </c>
      <c r="N106" s="391"/>
      <c r="O106" s="391"/>
      <c r="P106" s="391"/>
      <c r="Q106" s="2"/>
      <c r="R106" s="102"/>
      <c r="S106" s="392"/>
      <c r="T106" s="392"/>
      <c r="U106" s="102"/>
    </row>
    <row r="107" spans="1:22" s="78" customFormat="1" ht="31.5" x14ac:dyDescent="0.25">
      <c r="A107" s="208">
        <v>78</v>
      </c>
      <c r="B107" s="209" t="s">
        <v>236</v>
      </c>
      <c r="C107" s="86" t="s">
        <v>643</v>
      </c>
      <c r="D107" s="368" t="s">
        <v>929</v>
      </c>
      <c r="E107" s="210" t="s">
        <v>18</v>
      </c>
      <c r="F107" s="211">
        <v>16000</v>
      </c>
      <c r="G107" s="211">
        <f t="shared" si="22"/>
        <v>1600</v>
      </c>
      <c r="H107" s="211">
        <f t="shared" si="23"/>
        <v>14400</v>
      </c>
      <c r="I107" s="212">
        <v>41758</v>
      </c>
      <c r="J107" s="326">
        <v>41800</v>
      </c>
      <c r="K107" s="345">
        <f t="shared" si="16"/>
        <v>44814</v>
      </c>
      <c r="L107" s="359">
        <f>EDATE(K107,20)</f>
        <v>45422</v>
      </c>
      <c r="M107" s="213">
        <v>100</v>
      </c>
      <c r="N107" s="214">
        <f>+S107/F107</f>
        <v>0</v>
      </c>
      <c r="O107" s="214">
        <v>100</v>
      </c>
      <c r="P107" s="214">
        <f t="shared" si="19"/>
        <v>0</v>
      </c>
      <c r="Q107" s="80"/>
      <c r="R107" s="215">
        <f>+F107*M107</f>
        <v>1600000</v>
      </c>
      <c r="S107" s="216">
        <v>0</v>
      </c>
      <c r="T107" s="216">
        <v>1600000</v>
      </c>
      <c r="U107" s="215">
        <f t="shared" si="20"/>
        <v>0</v>
      </c>
    </row>
    <row r="108" spans="1:22" s="162" customFormat="1" x14ac:dyDescent="0.25">
      <c r="A108" s="413"/>
      <c r="B108" s="414" t="s">
        <v>874</v>
      </c>
      <c r="C108" s="415" t="s">
        <v>870</v>
      </c>
      <c r="D108" s="415"/>
      <c r="E108" s="416" t="s">
        <v>860</v>
      </c>
      <c r="F108" s="416">
        <v>31000</v>
      </c>
      <c r="G108" s="416"/>
      <c r="H108" s="416">
        <f t="shared" si="23"/>
        <v>31000</v>
      </c>
      <c r="I108" s="417">
        <v>45756</v>
      </c>
      <c r="J108" s="418" t="s">
        <v>875</v>
      </c>
      <c r="K108" s="419"/>
      <c r="L108" s="419" t="s">
        <v>876</v>
      </c>
      <c r="M108" s="413">
        <v>36</v>
      </c>
      <c r="N108" s="420"/>
      <c r="O108" s="420">
        <f>T108/F108</f>
        <v>9</v>
      </c>
      <c r="P108" s="420">
        <f>M108-O108</f>
        <v>27</v>
      </c>
      <c r="Q108" s="164"/>
      <c r="R108" s="421">
        <f>M108*F108</f>
        <v>1116000</v>
      </c>
      <c r="S108" s="421"/>
      <c r="T108" s="421">
        <f>'[74]A - 508'!$D$45</f>
        <v>279000</v>
      </c>
      <c r="U108" s="421">
        <f>R108-T108</f>
        <v>837000</v>
      </c>
    </row>
    <row r="109" spans="1:22" s="78" customFormat="1" x14ac:dyDescent="0.25">
      <c r="A109" s="155">
        <v>79</v>
      </c>
      <c r="B109" s="96" t="s">
        <v>241</v>
      </c>
      <c r="C109" s="99" t="s">
        <v>632</v>
      </c>
      <c r="D109" s="373" t="s">
        <v>929</v>
      </c>
      <c r="E109" s="87" t="s">
        <v>18</v>
      </c>
      <c r="F109" s="88">
        <v>28500</v>
      </c>
      <c r="G109" s="88">
        <f t="shared" si="22"/>
        <v>2850</v>
      </c>
      <c r="H109" s="88">
        <f t="shared" si="23"/>
        <v>25650</v>
      </c>
      <c r="I109" s="89">
        <v>43671</v>
      </c>
      <c r="J109" s="328">
        <v>43656</v>
      </c>
      <c r="K109" s="347">
        <f t="shared" si="16"/>
        <v>46670</v>
      </c>
      <c r="L109" s="361">
        <f>EDATE(K109,20)</f>
        <v>47279</v>
      </c>
      <c r="M109" s="90">
        <v>100</v>
      </c>
      <c r="N109" s="91">
        <f>+S109/F109</f>
        <v>0</v>
      </c>
      <c r="O109" s="91">
        <f>+T109/F109</f>
        <v>56</v>
      </c>
      <c r="P109" s="91">
        <f t="shared" si="19"/>
        <v>44</v>
      </c>
      <c r="Q109" s="80"/>
      <c r="R109" s="92">
        <f>+F109*M109</f>
        <v>2850000</v>
      </c>
      <c r="S109" s="93">
        <v>0</v>
      </c>
      <c r="T109" s="93">
        <f>'[75]A - 509 KETIKI SINGH SHASTRI'!$D$121</f>
        <v>1596000</v>
      </c>
      <c r="U109" s="92">
        <f t="shared" si="20"/>
        <v>1254000</v>
      </c>
    </row>
    <row r="110" spans="1:22" s="80" customFormat="1" ht="31.5" x14ac:dyDescent="0.25">
      <c r="A110" s="146">
        <v>80</v>
      </c>
      <c r="B110" s="81" t="s">
        <v>242</v>
      </c>
      <c r="C110" s="154" t="s">
        <v>644</v>
      </c>
      <c r="D110" s="374" t="s">
        <v>929</v>
      </c>
      <c r="E110" s="148" t="s">
        <v>18</v>
      </c>
      <c r="F110" s="149">
        <v>16000</v>
      </c>
      <c r="G110" s="149">
        <f t="shared" si="22"/>
        <v>1600</v>
      </c>
      <c r="H110" s="149">
        <f t="shared" si="23"/>
        <v>14400</v>
      </c>
      <c r="I110" s="166">
        <v>41978</v>
      </c>
      <c r="J110" s="329">
        <v>42014</v>
      </c>
      <c r="K110" s="348">
        <f t="shared" si="16"/>
        <v>45026</v>
      </c>
      <c r="L110" s="362">
        <f>EDATE(K110,20)</f>
        <v>45636</v>
      </c>
      <c r="M110" s="150">
        <v>100</v>
      </c>
      <c r="N110" s="151">
        <v>52</v>
      </c>
      <c r="O110" s="151">
        <v>48</v>
      </c>
      <c r="P110" s="151">
        <f t="shared" si="19"/>
        <v>0</v>
      </c>
      <c r="Q110" s="2"/>
      <c r="R110" s="152">
        <v>1860000</v>
      </c>
      <c r="S110" s="153">
        <f>SUM('[76]A -510 VANDANA PARASHAR'!$D$9:$D$60)</f>
        <v>1092000</v>
      </c>
      <c r="T110" s="153">
        <f>SUM('[77]A -510 VANDANA PARASHAR'!$D$61:$D$122)</f>
        <v>760000</v>
      </c>
      <c r="U110" s="152">
        <f>R110-S110-T110</f>
        <v>8000</v>
      </c>
    </row>
    <row r="111" spans="1:22" s="78" customFormat="1" x14ac:dyDescent="0.25">
      <c r="A111" s="63">
        <v>81</v>
      </c>
      <c r="B111" s="27" t="s">
        <v>246</v>
      </c>
      <c r="C111" s="33" t="s">
        <v>645</v>
      </c>
      <c r="D111" s="396" t="s">
        <v>929</v>
      </c>
      <c r="E111" s="30" t="s">
        <v>18</v>
      </c>
      <c r="F111" s="19">
        <v>22000</v>
      </c>
      <c r="G111" s="19">
        <f t="shared" si="22"/>
        <v>2200</v>
      </c>
      <c r="H111" s="19">
        <f t="shared" si="23"/>
        <v>19800</v>
      </c>
      <c r="I111" s="103">
        <v>42682</v>
      </c>
      <c r="J111" s="339">
        <v>42714</v>
      </c>
      <c r="K111" s="353">
        <f t="shared" si="16"/>
        <v>45726</v>
      </c>
      <c r="L111" s="367">
        <f>EDATE(K111,20)</f>
        <v>46336</v>
      </c>
      <c r="M111" s="28">
        <v>100</v>
      </c>
      <c r="N111" s="391">
        <f>+S111/F111</f>
        <v>0</v>
      </c>
      <c r="O111" s="391">
        <f>+T111/F111</f>
        <v>92</v>
      </c>
      <c r="P111" s="391">
        <f t="shared" si="19"/>
        <v>8</v>
      </c>
      <c r="Q111" s="2"/>
      <c r="R111" s="102">
        <f>+F111*M111</f>
        <v>2200000</v>
      </c>
      <c r="S111" s="392">
        <v>0</v>
      </c>
      <c r="T111" s="392">
        <f>'[78]A - 511 USHA GANDHI'!$D$123</f>
        <v>2024000</v>
      </c>
      <c r="U111" s="102">
        <f t="shared" si="20"/>
        <v>176000</v>
      </c>
      <c r="V111" s="2"/>
    </row>
    <row r="112" spans="1:22" s="78" customFormat="1" x14ac:dyDescent="0.25">
      <c r="A112" s="63">
        <v>82</v>
      </c>
      <c r="B112" s="27" t="s">
        <v>251</v>
      </c>
      <c r="C112" s="33" t="s">
        <v>646</v>
      </c>
      <c r="D112" s="396" t="s">
        <v>929</v>
      </c>
      <c r="E112" s="30" t="s">
        <v>18</v>
      </c>
      <c r="F112" s="19">
        <v>22000</v>
      </c>
      <c r="G112" s="19">
        <f t="shared" si="22"/>
        <v>2200</v>
      </c>
      <c r="H112" s="19">
        <f t="shared" si="23"/>
        <v>19800</v>
      </c>
      <c r="I112" s="103">
        <v>42093</v>
      </c>
      <c r="J112" s="339">
        <v>42134</v>
      </c>
      <c r="K112" s="353">
        <f t="shared" si="16"/>
        <v>45148</v>
      </c>
      <c r="L112" s="367">
        <f>EDATE(K112,20)</f>
        <v>45757</v>
      </c>
      <c r="M112" s="28">
        <v>100</v>
      </c>
      <c r="N112" s="391">
        <f>+S112/F112</f>
        <v>0</v>
      </c>
      <c r="O112" s="391">
        <v>100</v>
      </c>
      <c r="P112" s="391">
        <v>0</v>
      </c>
      <c r="Q112" s="2"/>
      <c r="R112" s="102">
        <f>+F112*M112</f>
        <v>2200000</v>
      </c>
      <c r="S112" s="392">
        <v>0</v>
      </c>
      <c r="T112" s="392">
        <v>2200000</v>
      </c>
      <c r="U112" s="102">
        <f t="shared" si="20"/>
        <v>0</v>
      </c>
      <c r="V112" s="2"/>
    </row>
    <row r="113" spans="1:22" s="78" customFormat="1" x14ac:dyDescent="0.25">
      <c r="A113" s="63"/>
      <c r="B113" s="27" t="s">
        <v>822</v>
      </c>
      <c r="C113" s="33" t="s">
        <v>646</v>
      </c>
      <c r="D113" s="396"/>
      <c r="E113" s="30" t="s">
        <v>18</v>
      </c>
      <c r="F113" s="19">
        <v>11000</v>
      </c>
      <c r="G113" s="19">
        <v>0</v>
      </c>
      <c r="H113" s="19">
        <v>11000</v>
      </c>
      <c r="I113" s="28">
        <v>100</v>
      </c>
      <c r="J113" s="457">
        <v>0</v>
      </c>
      <c r="K113" s="457">
        <v>100</v>
      </c>
      <c r="L113" s="458">
        <v>2200000</v>
      </c>
      <c r="M113" s="392">
        <v>24</v>
      </c>
      <c r="N113" s="102">
        <v>10</v>
      </c>
      <c r="O113" s="391">
        <f>M113-N113</f>
        <v>14</v>
      </c>
      <c r="P113" s="391"/>
      <c r="Q113" s="102">
        <v>2200000</v>
      </c>
      <c r="R113" s="102"/>
      <c r="S113" s="392"/>
      <c r="T113" s="392"/>
      <c r="U113" s="102"/>
      <c r="V113" s="2"/>
    </row>
    <row r="114" spans="1:22" s="78" customFormat="1" x14ac:dyDescent="0.25">
      <c r="A114" s="155">
        <v>83</v>
      </c>
      <c r="B114" s="96" t="s">
        <v>256</v>
      </c>
      <c r="C114" s="99" t="s">
        <v>647</v>
      </c>
      <c r="D114" s="373" t="s">
        <v>929</v>
      </c>
      <c r="E114" s="87" t="s">
        <v>18</v>
      </c>
      <c r="F114" s="88">
        <v>16000</v>
      </c>
      <c r="G114" s="88">
        <f t="shared" si="22"/>
        <v>1600</v>
      </c>
      <c r="H114" s="88">
        <f t="shared" si="23"/>
        <v>14400</v>
      </c>
      <c r="I114" s="89">
        <v>41827</v>
      </c>
      <c r="J114" s="328">
        <v>41861</v>
      </c>
      <c r="K114" s="347">
        <f t="shared" si="16"/>
        <v>44875</v>
      </c>
      <c r="L114" s="361">
        <f>EDATE(K114,20)</f>
        <v>45483</v>
      </c>
      <c r="M114" s="90">
        <v>100</v>
      </c>
      <c r="N114" s="91">
        <v>58</v>
      </c>
      <c r="O114" s="91">
        <v>42</v>
      </c>
      <c r="P114" s="91">
        <f t="shared" si="19"/>
        <v>0</v>
      </c>
      <c r="Q114" s="80"/>
      <c r="R114" s="92">
        <v>1716000</v>
      </c>
      <c r="S114" s="93">
        <f>SUM('[79]A - 513'!$D$9:$D$66)</f>
        <v>1044000</v>
      </c>
      <c r="T114" s="93">
        <v>672000</v>
      </c>
      <c r="U114" s="92">
        <f t="shared" si="20"/>
        <v>0</v>
      </c>
      <c r="V114" s="78" t="s">
        <v>945</v>
      </c>
    </row>
    <row r="115" spans="1:22" s="78" customFormat="1" x14ac:dyDescent="0.25">
      <c r="A115" s="155">
        <v>84</v>
      </c>
      <c r="B115" s="96" t="s">
        <v>261</v>
      </c>
      <c r="C115" s="99" t="s">
        <v>648</v>
      </c>
      <c r="D115" s="373" t="s">
        <v>929</v>
      </c>
      <c r="E115" s="87" t="s">
        <v>18</v>
      </c>
      <c r="F115" s="88">
        <v>16000</v>
      </c>
      <c r="G115" s="88">
        <f t="shared" si="22"/>
        <v>1600</v>
      </c>
      <c r="H115" s="88">
        <f t="shared" si="23"/>
        <v>14400</v>
      </c>
      <c r="I115" s="89">
        <v>41851</v>
      </c>
      <c r="J115" s="328">
        <v>41861</v>
      </c>
      <c r="K115" s="347">
        <f t="shared" si="16"/>
        <v>44875</v>
      </c>
      <c r="L115" s="361">
        <f>EDATE(K115,20)</f>
        <v>45483</v>
      </c>
      <c r="M115" s="90">
        <v>100</v>
      </c>
      <c r="N115" s="91">
        <v>58</v>
      </c>
      <c r="O115" s="91">
        <f>+T115/F115</f>
        <v>42</v>
      </c>
      <c r="P115" s="91">
        <f t="shared" si="19"/>
        <v>0</v>
      </c>
      <c r="Q115" s="80"/>
      <c r="R115" s="92">
        <v>1716000</v>
      </c>
      <c r="S115" s="93">
        <f>SUM('[80]A - 514'!$D$9:$D$66)</f>
        <v>1044000</v>
      </c>
      <c r="T115" s="93">
        <v>672000</v>
      </c>
      <c r="U115" s="92">
        <f t="shared" si="20"/>
        <v>0</v>
      </c>
      <c r="V115" s="78" t="s">
        <v>945</v>
      </c>
    </row>
    <row r="116" spans="1:22" s="80" customFormat="1" ht="31.5" x14ac:dyDescent="0.25">
      <c r="A116" s="146">
        <v>85</v>
      </c>
      <c r="B116" s="170" t="s">
        <v>266</v>
      </c>
      <c r="C116" s="173" t="s">
        <v>736</v>
      </c>
      <c r="D116" s="378" t="s">
        <v>929</v>
      </c>
      <c r="E116" s="168" t="s">
        <v>18</v>
      </c>
      <c r="F116" s="169">
        <v>16000</v>
      </c>
      <c r="G116" s="169">
        <f t="shared" si="22"/>
        <v>1600</v>
      </c>
      <c r="H116" s="169">
        <f t="shared" si="23"/>
        <v>14400</v>
      </c>
      <c r="I116" s="176">
        <v>41898</v>
      </c>
      <c r="J116" s="333">
        <v>41922</v>
      </c>
      <c r="K116" s="348">
        <f t="shared" si="16"/>
        <v>44936</v>
      </c>
      <c r="L116" s="362">
        <f>EDATE(K116,20)</f>
        <v>45545</v>
      </c>
      <c r="M116" s="189">
        <v>100</v>
      </c>
      <c r="N116" s="151">
        <v>56</v>
      </c>
      <c r="O116" s="151">
        <f>+T116/F116</f>
        <v>44</v>
      </c>
      <c r="P116" s="151">
        <f t="shared" si="19"/>
        <v>0</v>
      </c>
      <c r="Q116" s="100"/>
      <c r="R116" s="152">
        <v>1712000</v>
      </c>
      <c r="S116" s="153">
        <f>SUM('[81]A - 601'!$D$9:$D$64)</f>
        <v>1008000</v>
      </c>
      <c r="T116" s="153">
        <v>704000</v>
      </c>
      <c r="U116" s="152">
        <f t="shared" si="20"/>
        <v>0</v>
      </c>
    </row>
    <row r="117" spans="1:22" s="80" customFormat="1" x14ac:dyDescent="0.25">
      <c r="A117" s="146">
        <v>86</v>
      </c>
      <c r="B117" s="81" t="s">
        <v>276</v>
      </c>
      <c r="C117" s="154" t="s">
        <v>649</v>
      </c>
      <c r="D117" s="374" t="s">
        <v>929</v>
      </c>
      <c r="E117" s="148" t="s">
        <v>18</v>
      </c>
      <c r="F117" s="149">
        <v>16000</v>
      </c>
      <c r="G117" s="149">
        <f t="shared" si="22"/>
        <v>1600</v>
      </c>
      <c r="H117" s="149">
        <f t="shared" si="23"/>
        <v>14400</v>
      </c>
      <c r="I117" s="166">
        <v>41898</v>
      </c>
      <c r="J117" s="329">
        <v>41922</v>
      </c>
      <c r="K117" s="348">
        <f t="shared" si="16"/>
        <v>44936</v>
      </c>
      <c r="L117" s="362">
        <f>EDATE(K117,20)</f>
        <v>45545</v>
      </c>
      <c r="M117" s="150">
        <v>100</v>
      </c>
      <c r="N117" s="151">
        <v>56</v>
      </c>
      <c r="O117" s="151">
        <v>44</v>
      </c>
      <c r="P117" s="151">
        <v>0</v>
      </c>
      <c r="R117" s="152">
        <v>1712000</v>
      </c>
      <c r="S117" s="153">
        <f>SUM('[82]A - 602'!$D$9:$D$64)</f>
        <v>1008000</v>
      </c>
      <c r="T117" s="153">
        <v>704000</v>
      </c>
      <c r="U117" s="152"/>
    </row>
    <row r="118" spans="1:22" s="80" customFormat="1" x14ac:dyDescent="0.25">
      <c r="A118" s="208">
        <v>87</v>
      </c>
      <c r="B118" s="226" t="s">
        <v>280</v>
      </c>
      <c r="C118" s="99" t="s">
        <v>650</v>
      </c>
      <c r="D118" s="373" t="s">
        <v>929</v>
      </c>
      <c r="E118" s="210" t="s">
        <v>18</v>
      </c>
      <c r="F118" s="211">
        <v>16000</v>
      </c>
      <c r="G118" s="211">
        <f t="shared" si="22"/>
        <v>1600</v>
      </c>
      <c r="H118" s="211">
        <f t="shared" si="23"/>
        <v>14400</v>
      </c>
      <c r="I118" s="212">
        <v>41711</v>
      </c>
      <c r="J118" s="326">
        <v>41769</v>
      </c>
      <c r="K118" s="345">
        <f t="shared" si="16"/>
        <v>44783</v>
      </c>
      <c r="L118" s="359">
        <f>EDATE(K118,20)</f>
        <v>45392</v>
      </c>
      <c r="M118" s="213">
        <v>100</v>
      </c>
      <c r="N118" s="214">
        <f>+S118/F118</f>
        <v>0</v>
      </c>
      <c r="O118" s="214">
        <f>+T118/F118</f>
        <v>93</v>
      </c>
      <c r="P118" s="214">
        <f t="shared" si="19"/>
        <v>7</v>
      </c>
      <c r="R118" s="215">
        <f>+F118*M118</f>
        <v>1600000</v>
      </c>
      <c r="S118" s="216">
        <v>0</v>
      </c>
      <c r="T118" s="216">
        <f>'[83]A - 603'!$D$121</f>
        <v>1488000</v>
      </c>
      <c r="U118" s="215">
        <f t="shared" si="20"/>
        <v>112000</v>
      </c>
    </row>
    <row r="119" spans="1:22" s="78" customFormat="1" x14ac:dyDescent="0.25">
      <c r="A119" s="413"/>
      <c r="B119" s="157" t="s">
        <v>877</v>
      </c>
      <c r="C119" s="451" t="s">
        <v>878</v>
      </c>
      <c r="D119" s="451" t="s">
        <v>929</v>
      </c>
      <c r="E119" s="416" t="s">
        <v>879</v>
      </c>
      <c r="F119" s="416">
        <v>31000</v>
      </c>
      <c r="G119" s="416"/>
      <c r="H119" s="416">
        <f t="shared" ref="H119" si="24">+F119-G119:G119</f>
        <v>31000</v>
      </c>
      <c r="I119" s="417">
        <v>45756</v>
      </c>
      <c r="J119" s="418" t="s">
        <v>875</v>
      </c>
      <c r="K119" s="419"/>
      <c r="L119" s="419" t="s">
        <v>876</v>
      </c>
      <c r="M119" s="413">
        <v>36</v>
      </c>
      <c r="N119" s="420"/>
      <c r="O119" s="420">
        <f>T119/F119</f>
        <v>3</v>
      </c>
      <c r="P119" s="420">
        <f>M119-O119</f>
        <v>33</v>
      </c>
      <c r="Q119" s="164"/>
      <c r="R119" s="421">
        <f>M119*F119</f>
        <v>1116000</v>
      </c>
      <c r="S119" s="421"/>
      <c r="T119" s="421">
        <f>'[84]A - 603'!$D$45</f>
        <v>93000</v>
      </c>
      <c r="U119" s="421">
        <f>R119-T119</f>
        <v>1023000</v>
      </c>
    </row>
    <row r="120" spans="1:22" s="80" customFormat="1" ht="31.5" x14ac:dyDescent="0.25">
      <c r="A120" s="190">
        <v>88</v>
      </c>
      <c r="B120" s="170" t="s">
        <v>285</v>
      </c>
      <c r="C120" s="171" t="s">
        <v>651</v>
      </c>
      <c r="D120" s="379" t="s">
        <v>929</v>
      </c>
      <c r="E120" s="168" t="s">
        <v>18</v>
      </c>
      <c r="F120" s="169">
        <v>22000</v>
      </c>
      <c r="G120" s="169">
        <f t="shared" si="22"/>
        <v>2200</v>
      </c>
      <c r="H120" s="169">
        <f t="shared" si="23"/>
        <v>19800</v>
      </c>
      <c r="I120" s="166">
        <v>42156</v>
      </c>
      <c r="J120" s="329">
        <v>42195</v>
      </c>
      <c r="K120" s="348">
        <f t="shared" si="16"/>
        <v>45209</v>
      </c>
      <c r="L120" s="362">
        <f>EDATE(K120,20)</f>
        <v>45818</v>
      </c>
      <c r="M120" s="189">
        <v>100</v>
      </c>
      <c r="N120" s="151">
        <f>+S120/F120</f>
        <v>0</v>
      </c>
      <c r="O120" s="151">
        <f>+T120/F120</f>
        <v>100</v>
      </c>
      <c r="P120" s="151">
        <f t="shared" si="19"/>
        <v>0</v>
      </c>
      <c r="Q120" s="2"/>
      <c r="R120" s="152">
        <f>+F120*M120</f>
        <v>2200000</v>
      </c>
      <c r="S120" s="153">
        <v>0</v>
      </c>
      <c r="T120" s="153">
        <f>'[85]A - 604'!$D$121</f>
        <v>2200000</v>
      </c>
      <c r="U120" s="152">
        <f t="shared" si="20"/>
        <v>0</v>
      </c>
    </row>
    <row r="121" spans="1:22" s="80" customFormat="1" x14ac:dyDescent="0.25">
      <c r="A121" s="146">
        <v>89</v>
      </c>
      <c r="B121" s="81" t="s">
        <v>290</v>
      </c>
      <c r="C121" s="82" t="s">
        <v>652</v>
      </c>
      <c r="D121" s="372" t="s">
        <v>929</v>
      </c>
      <c r="E121" s="148" t="s">
        <v>18</v>
      </c>
      <c r="F121" s="149">
        <v>22000</v>
      </c>
      <c r="G121" s="149">
        <f t="shared" si="22"/>
        <v>2200</v>
      </c>
      <c r="H121" s="149">
        <f t="shared" si="23"/>
        <v>19800</v>
      </c>
      <c r="I121" s="166">
        <v>42149</v>
      </c>
      <c r="J121" s="329">
        <v>42165</v>
      </c>
      <c r="K121" s="348">
        <f t="shared" si="16"/>
        <v>45179</v>
      </c>
      <c r="L121" s="362">
        <f>EDATE(K121,20)</f>
        <v>45787</v>
      </c>
      <c r="M121" s="150">
        <v>100</v>
      </c>
      <c r="N121" s="151">
        <f>+S121/F121</f>
        <v>0</v>
      </c>
      <c r="O121" s="151">
        <f>+T121/F121</f>
        <v>90</v>
      </c>
      <c r="P121" s="151">
        <f t="shared" si="19"/>
        <v>10</v>
      </c>
      <c r="Q121" s="2"/>
      <c r="R121" s="152">
        <f>+F121*M121</f>
        <v>2200000</v>
      </c>
      <c r="S121" s="153">
        <v>0</v>
      </c>
      <c r="T121" s="153">
        <f>'[86]A - 605'!$D$123</f>
        <v>1980000</v>
      </c>
      <c r="U121" s="152">
        <f t="shared" si="20"/>
        <v>220000</v>
      </c>
    </row>
    <row r="122" spans="1:22" s="78" customFormat="1" x14ac:dyDescent="0.25">
      <c r="A122" s="208">
        <v>90</v>
      </c>
      <c r="B122" s="209" t="s">
        <v>295</v>
      </c>
      <c r="C122" s="99" t="s">
        <v>653</v>
      </c>
      <c r="D122" s="373" t="s">
        <v>929</v>
      </c>
      <c r="E122" s="210" t="s">
        <v>18</v>
      </c>
      <c r="F122" s="211">
        <v>16000</v>
      </c>
      <c r="G122" s="211">
        <f t="shared" si="22"/>
        <v>1600</v>
      </c>
      <c r="H122" s="211">
        <f t="shared" si="23"/>
        <v>14400</v>
      </c>
      <c r="I122" s="212">
        <v>41922</v>
      </c>
      <c r="J122" s="326">
        <v>42287</v>
      </c>
      <c r="K122" s="345">
        <f>DATE(YEAR(J122),MONTH(J122)+89,DAY(J122))</f>
        <v>44995</v>
      </c>
      <c r="L122" s="359">
        <f>EDATE(K122,20)</f>
        <v>45606</v>
      </c>
      <c r="M122" s="213">
        <v>90</v>
      </c>
      <c r="N122" s="237">
        <v>46</v>
      </c>
      <c r="O122" s="214">
        <v>44</v>
      </c>
      <c r="P122" s="214">
        <f>M122-N122-O122</f>
        <v>0</v>
      </c>
      <c r="Q122" s="2"/>
      <c r="R122" s="215">
        <v>1591800</v>
      </c>
      <c r="S122" s="216">
        <v>887800</v>
      </c>
      <c r="T122" s="216">
        <f>SUM('[87]A - 606'!$D$55:$D$112)</f>
        <v>704000</v>
      </c>
      <c r="U122" s="215">
        <f t="shared" ref="U122:U168" si="25">+R122-S122-T122</f>
        <v>0</v>
      </c>
    </row>
    <row r="123" spans="1:22" s="162" customFormat="1" x14ac:dyDescent="0.25">
      <c r="A123" s="413"/>
      <c r="B123" s="414" t="s">
        <v>295</v>
      </c>
      <c r="C123" s="451" t="s">
        <v>895</v>
      </c>
      <c r="D123" s="451" t="s">
        <v>929</v>
      </c>
      <c r="E123" s="416" t="s">
        <v>30</v>
      </c>
      <c r="F123" s="416">
        <v>31000</v>
      </c>
      <c r="G123" s="416"/>
      <c r="H123" s="416">
        <f t="shared" si="23"/>
        <v>31000</v>
      </c>
      <c r="I123" s="417" t="s">
        <v>855</v>
      </c>
      <c r="J123" s="418" t="s">
        <v>856</v>
      </c>
      <c r="K123" s="419"/>
      <c r="L123" s="419" t="s">
        <v>857</v>
      </c>
      <c r="M123" s="413">
        <v>36</v>
      </c>
      <c r="N123" s="459"/>
      <c r="O123" s="420">
        <f>T123/F123</f>
        <v>6</v>
      </c>
      <c r="P123" s="420">
        <f>M123-O123</f>
        <v>30</v>
      </c>
      <c r="Q123" s="164"/>
      <c r="R123" s="421">
        <f>M123*F123</f>
        <v>1116000</v>
      </c>
      <c r="S123" s="421"/>
      <c r="T123" s="421">
        <f>'[88]A - 606'!$D$45</f>
        <v>186000</v>
      </c>
      <c r="U123" s="421">
        <f>R123-T123</f>
        <v>930000</v>
      </c>
    </row>
    <row r="124" spans="1:22" s="79" customFormat="1" x14ac:dyDescent="0.25">
      <c r="A124" s="155">
        <v>91</v>
      </c>
      <c r="B124" s="85" t="s">
        <v>298</v>
      </c>
      <c r="C124" s="98" t="s">
        <v>654</v>
      </c>
      <c r="D124" s="380" t="s">
        <v>929</v>
      </c>
      <c r="E124" s="97" t="s">
        <v>18</v>
      </c>
      <c r="F124" s="88">
        <v>22000</v>
      </c>
      <c r="G124" s="88">
        <f t="shared" si="22"/>
        <v>2200</v>
      </c>
      <c r="H124" s="88">
        <f t="shared" si="23"/>
        <v>19800</v>
      </c>
      <c r="I124" s="101">
        <v>42109</v>
      </c>
      <c r="J124" s="334">
        <v>42134</v>
      </c>
      <c r="K124" s="347">
        <f t="shared" ref="K124:K176" si="26">DATE(YEAR(J124),MONTH(J124)+99,DAY(J124))</f>
        <v>45148</v>
      </c>
      <c r="L124" s="361">
        <f t="shared" ref="L124:L130" si="27">EDATE(K124,20)</f>
        <v>45757</v>
      </c>
      <c r="M124" s="90">
        <v>100</v>
      </c>
      <c r="N124" s="91">
        <f>+S124</f>
        <v>0</v>
      </c>
      <c r="O124" s="91">
        <f>+T124/F124</f>
        <v>86</v>
      </c>
      <c r="P124" s="91">
        <f t="shared" ref="P124:P168" si="28">+M124-N124-O124</f>
        <v>14</v>
      </c>
      <c r="Q124" s="100"/>
      <c r="R124" s="92">
        <f>+F124*M124</f>
        <v>2200000</v>
      </c>
      <c r="S124" s="93">
        <v>0</v>
      </c>
      <c r="T124" s="93">
        <f>'[89]A - 607'!$D$123</f>
        <v>1892000</v>
      </c>
      <c r="U124" s="92">
        <f t="shared" si="25"/>
        <v>308000</v>
      </c>
    </row>
    <row r="125" spans="1:22" s="78" customFormat="1" x14ac:dyDescent="0.25">
      <c r="A125" s="208">
        <v>92</v>
      </c>
      <c r="B125" s="226" t="s">
        <v>302</v>
      </c>
      <c r="C125" s="99" t="s">
        <v>655</v>
      </c>
      <c r="D125" s="373" t="s">
        <v>929</v>
      </c>
      <c r="E125" s="210" t="s">
        <v>18</v>
      </c>
      <c r="F125" s="211">
        <v>22000</v>
      </c>
      <c r="G125" s="211">
        <f t="shared" si="22"/>
        <v>2200</v>
      </c>
      <c r="H125" s="211">
        <f t="shared" si="23"/>
        <v>19800</v>
      </c>
      <c r="I125" s="212">
        <v>42342</v>
      </c>
      <c r="J125" s="326">
        <v>42379</v>
      </c>
      <c r="K125" s="345">
        <f t="shared" si="26"/>
        <v>45392</v>
      </c>
      <c r="L125" s="359">
        <f t="shared" si="27"/>
        <v>46001</v>
      </c>
      <c r="M125" s="213">
        <v>100</v>
      </c>
      <c r="N125" s="214">
        <f>+S125</f>
        <v>0</v>
      </c>
      <c r="O125" s="214">
        <f>+T125/F125</f>
        <v>67.5</v>
      </c>
      <c r="P125" s="214">
        <f t="shared" si="28"/>
        <v>32.5</v>
      </c>
      <c r="Q125" s="80"/>
      <c r="R125" s="215">
        <f>+F125*M125</f>
        <v>2200000</v>
      </c>
      <c r="S125" s="216">
        <v>0</v>
      </c>
      <c r="T125" s="216">
        <f>'[90]A - 608'!$D$121</f>
        <v>1485000</v>
      </c>
      <c r="U125" s="215">
        <f t="shared" si="25"/>
        <v>715000</v>
      </c>
    </row>
    <row r="126" spans="1:22" x14ac:dyDescent="0.25">
      <c r="A126" s="248">
        <v>93</v>
      </c>
      <c r="B126" s="249" t="s">
        <v>305</v>
      </c>
      <c r="C126" s="250" t="s">
        <v>656</v>
      </c>
      <c r="D126" s="250" t="s">
        <v>929</v>
      </c>
      <c r="E126" s="251" t="s">
        <v>30</v>
      </c>
      <c r="F126" s="251">
        <v>16000</v>
      </c>
      <c r="G126" s="251">
        <f t="shared" si="22"/>
        <v>1600</v>
      </c>
      <c r="H126" s="251">
        <f t="shared" si="23"/>
        <v>14400</v>
      </c>
      <c r="I126" s="252">
        <v>41978</v>
      </c>
      <c r="J126" s="335">
        <v>41998</v>
      </c>
      <c r="K126" s="335">
        <f t="shared" si="26"/>
        <v>45010</v>
      </c>
      <c r="L126" s="335">
        <f t="shared" si="27"/>
        <v>45621</v>
      </c>
      <c r="M126" s="253">
        <v>100</v>
      </c>
      <c r="N126" s="254">
        <v>54</v>
      </c>
      <c r="O126" s="254">
        <f>+T126/F126</f>
        <v>7</v>
      </c>
      <c r="P126" s="254">
        <f t="shared" si="28"/>
        <v>39</v>
      </c>
      <c r="R126" s="251">
        <v>1870000</v>
      </c>
      <c r="S126" s="251">
        <f>SUM('[91]A - 609'!$D$9:$D$62)</f>
        <v>1134000</v>
      </c>
      <c r="T126" s="251">
        <v>112000</v>
      </c>
      <c r="U126" s="251">
        <f t="shared" si="25"/>
        <v>624000</v>
      </c>
      <c r="V126" s="2" t="s">
        <v>945</v>
      </c>
    </row>
    <row r="127" spans="1:22" s="78" customFormat="1" x14ac:dyDescent="0.25">
      <c r="A127" s="155">
        <v>94</v>
      </c>
      <c r="B127" s="96" t="s">
        <v>309</v>
      </c>
      <c r="C127" s="99" t="s">
        <v>657</v>
      </c>
      <c r="D127" s="373" t="s">
        <v>929</v>
      </c>
      <c r="E127" s="87" t="s">
        <v>18</v>
      </c>
      <c r="F127" s="88">
        <v>16000</v>
      </c>
      <c r="G127" s="88">
        <f t="shared" si="22"/>
        <v>1600</v>
      </c>
      <c r="H127" s="88">
        <f t="shared" si="23"/>
        <v>14400</v>
      </c>
      <c r="I127" s="89">
        <v>41933</v>
      </c>
      <c r="J127" s="328">
        <v>41953</v>
      </c>
      <c r="K127" s="347">
        <f t="shared" si="26"/>
        <v>44967</v>
      </c>
      <c r="L127" s="361">
        <f t="shared" si="27"/>
        <v>45575</v>
      </c>
      <c r="M127" s="90">
        <v>100</v>
      </c>
      <c r="N127" s="95">
        <v>55</v>
      </c>
      <c r="O127" s="91">
        <v>45</v>
      </c>
      <c r="P127" s="91">
        <f t="shared" si="28"/>
        <v>0</v>
      </c>
      <c r="Q127" s="80"/>
      <c r="R127" s="92">
        <v>1875000</v>
      </c>
      <c r="S127" s="93">
        <f>SUM('[92]A - 610'!$D$9:$D$63)</f>
        <v>1155000</v>
      </c>
      <c r="T127" s="93">
        <v>720000</v>
      </c>
      <c r="U127" s="92">
        <f t="shared" si="25"/>
        <v>0</v>
      </c>
    </row>
    <row r="128" spans="1:22" s="164" customFormat="1" x14ac:dyDescent="0.25">
      <c r="A128" s="460"/>
      <c r="B128" s="461" t="s">
        <v>949</v>
      </c>
      <c r="C128" s="462" t="s">
        <v>950</v>
      </c>
      <c r="D128" s="463" t="s">
        <v>929</v>
      </c>
      <c r="E128" s="464" t="s">
        <v>30</v>
      </c>
      <c r="F128" s="465">
        <v>31000</v>
      </c>
      <c r="G128" s="465">
        <f t="shared" si="22"/>
        <v>3100</v>
      </c>
      <c r="H128" s="465">
        <f t="shared" si="23"/>
        <v>27900</v>
      </c>
      <c r="I128" s="466" t="s">
        <v>936</v>
      </c>
      <c r="J128" s="467" t="s">
        <v>937</v>
      </c>
      <c r="K128" s="468"/>
      <c r="L128" s="469" t="s">
        <v>938</v>
      </c>
      <c r="M128" s="470">
        <v>36</v>
      </c>
      <c r="N128" s="471"/>
      <c r="O128" s="472">
        <v>2</v>
      </c>
      <c r="P128" s="472">
        <f>M128-O128</f>
        <v>34</v>
      </c>
      <c r="R128" s="473">
        <f>F128*M128</f>
        <v>1116000</v>
      </c>
      <c r="S128" s="474"/>
      <c r="T128" s="474">
        <v>66000</v>
      </c>
      <c r="U128" s="473">
        <f>R128-T128</f>
        <v>1050000</v>
      </c>
    </row>
    <row r="129" spans="1:22" s="78" customFormat="1" ht="31.5" x14ac:dyDescent="0.25">
      <c r="A129" s="146">
        <v>95</v>
      </c>
      <c r="B129" s="81" t="s">
        <v>313</v>
      </c>
      <c r="C129" s="82" t="s">
        <v>584</v>
      </c>
      <c r="D129" s="372" t="s">
        <v>929</v>
      </c>
      <c r="E129" s="148" t="s">
        <v>18</v>
      </c>
      <c r="F129" s="149">
        <v>22000</v>
      </c>
      <c r="G129" s="149">
        <f t="shared" si="22"/>
        <v>2200</v>
      </c>
      <c r="H129" s="149">
        <f t="shared" si="23"/>
        <v>19800</v>
      </c>
      <c r="I129" s="166">
        <v>42257</v>
      </c>
      <c r="J129" s="329">
        <v>42287</v>
      </c>
      <c r="K129" s="348">
        <f t="shared" si="26"/>
        <v>45301</v>
      </c>
      <c r="L129" s="362">
        <f t="shared" si="27"/>
        <v>45910</v>
      </c>
      <c r="M129" s="150">
        <v>100</v>
      </c>
      <c r="N129" s="167">
        <f>+S129</f>
        <v>0</v>
      </c>
      <c r="O129" s="167">
        <f>+T129/F129</f>
        <v>94.727272727272734</v>
      </c>
      <c r="P129" s="167">
        <f t="shared" si="28"/>
        <v>5.2727272727272663</v>
      </c>
      <c r="Q129" s="2"/>
      <c r="R129" s="174">
        <f>+F129*M129</f>
        <v>2200000</v>
      </c>
      <c r="S129" s="175">
        <v>0</v>
      </c>
      <c r="T129" s="175">
        <f>'[93]A - 611'!$D$123</f>
        <v>2084000</v>
      </c>
      <c r="U129" s="174">
        <f t="shared" si="25"/>
        <v>116000</v>
      </c>
    </row>
    <row r="130" spans="1:22" s="78" customFormat="1" ht="31.5" x14ac:dyDescent="0.25">
      <c r="A130" s="146">
        <v>96</v>
      </c>
      <c r="B130" s="81" t="s">
        <v>314</v>
      </c>
      <c r="C130" s="154" t="s">
        <v>658</v>
      </c>
      <c r="D130" s="374" t="s">
        <v>929</v>
      </c>
      <c r="E130" s="148" t="s">
        <v>18</v>
      </c>
      <c r="F130" s="149">
        <v>21500</v>
      </c>
      <c r="G130" s="149">
        <f t="shared" si="22"/>
        <v>2150</v>
      </c>
      <c r="H130" s="149">
        <f t="shared" si="23"/>
        <v>19350</v>
      </c>
      <c r="I130" s="166">
        <v>42170</v>
      </c>
      <c r="J130" s="329">
        <v>42195</v>
      </c>
      <c r="K130" s="348">
        <f t="shared" si="26"/>
        <v>45209</v>
      </c>
      <c r="L130" s="362">
        <f t="shared" si="27"/>
        <v>45818</v>
      </c>
      <c r="M130" s="150">
        <v>100</v>
      </c>
      <c r="N130" s="151">
        <f>+S130</f>
        <v>0</v>
      </c>
      <c r="O130" s="151">
        <f>+T130/F130</f>
        <v>100</v>
      </c>
      <c r="P130" s="151">
        <f t="shared" si="28"/>
        <v>0</v>
      </c>
      <c r="Q130" s="2"/>
      <c r="R130" s="152">
        <f>+F130*M130</f>
        <v>2150000</v>
      </c>
      <c r="S130" s="153">
        <v>0</v>
      </c>
      <c r="T130" s="153">
        <f>'[94]A - 612'!$D$123</f>
        <v>2150000</v>
      </c>
      <c r="U130" s="152">
        <f t="shared" si="25"/>
        <v>0</v>
      </c>
    </row>
    <row r="131" spans="1:22" s="78" customFormat="1" ht="31.5" x14ac:dyDescent="0.25">
      <c r="A131" s="146"/>
      <c r="B131" s="81" t="s">
        <v>314</v>
      </c>
      <c r="C131" s="154" t="s">
        <v>658</v>
      </c>
      <c r="D131" s="374"/>
      <c r="E131" s="148" t="s">
        <v>18</v>
      </c>
      <c r="F131" s="149">
        <v>11000</v>
      </c>
      <c r="G131" s="149">
        <f t="shared" si="22"/>
        <v>1100</v>
      </c>
      <c r="H131" s="149">
        <f t="shared" si="23"/>
        <v>9900</v>
      </c>
      <c r="I131" s="166"/>
      <c r="J131" s="329"/>
      <c r="K131" s="348"/>
      <c r="L131" s="362"/>
      <c r="M131" s="150"/>
      <c r="N131" s="151"/>
      <c r="O131" s="151"/>
      <c r="P131" s="151"/>
      <c r="Q131" s="2"/>
      <c r="R131" s="152"/>
      <c r="S131" s="153"/>
      <c r="T131" s="153"/>
      <c r="U131" s="152"/>
    </row>
    <row r="132" spans="1:22" s="78" customFormat="1" x14ac:dyDescent="0.25">
      <c r="A132" s="63">
        <v>97</v>
      </c>
      <c r="B132" s="27" t="s">
        <v>319</v>
      </c>
      <c r="C132" s="33" t="s">
        <v>659</v>
      </c>
      <c r="D132" s="396" t="s">
        <v>929</v>
      </c>
      <c r="E132" s="30" t="s">
        <v>18</v>
      </c>
      <c r="F132" s="19">
        <v>16000</v>
      </c>
      <c r="G132" s="19">
        <f t="shared" si="22"/>
        <v>1600</v>
      </c>
      <c r="H132" s="19">
        <f t="shared" si="23"/>
        <v>14400</v>
      </c>
      <c r="I132" s="103">
        <v>41851</v>
      </c>
      <c r="J132" s="339">
        <v>41861</v>
      </c>
      <c r="K132" s="353">
        <f t="shared" si="26"/>
        <v>44875</v>
      </c>
      <c r="L132" s="367">
        <f>EDATE(K132,20)</f>
        <v>45483</v>
      </c>
      <c r="M132" s="28">
        <v>100</v>
      </c>
      <c r="N132" s="475">
        <v>58</v>
      </c>
      <c r="O132" s="391">
        <v>42</v>
      </c>
      <c r="P132" s="391">
        <v>0</v>
      </c>
      <c r="Q132" s="2"/>
      <c r="R132" s="102">
        <v>1716000</v>
      </c>
      <c r="S132" s="392">
        <f>SUM('[95]A - 613'!$D$9:$D$66)</f>
        <v>1044000</v>
      </c>
      <c r="T132" s="392">
        <v>672000</v>
      </c>
      <c r="U132" s="102">
        <f t="shared" si="25"/>
        <v>0</v>
      </c>
    </row>
    <row r="133" spans="1:22" s="78" customFormat="1" x14ac:dyDescent="0.25">
      <c r="A133" s="63"/>
      <c r="B133" s="27" t="s">
        <v>319</v>
      </c>
      <c r="C133" s="33" t="s">
        <v>659</v>
      </c>
      <c r="D133" s="396"/>
      <c r="E133" s="30" t="s">
        <v>926</v>
      </c>
      <c r="F133" s="19">
        <v>10000</v>
      </c>
      <c r="G133" s="19">
        <f t="shared" si="22"/>
        <v>1000</v>
      </c>
      <c r="H133" s="19">
        <f t="shared" si="23"/>
        <v>9000</v>
      </c>
      <c r="I133" s="103"/>
      <c r="J133" s="339"/>
      <c r="K133" s="353"/>
      <c r="L133" s="367"/>
      <c r="M133" s="28"/>
      <c r="N133" s="475"/>
      <c r="O133" s="391"/>
      <c r="P133" s="391"/>
      <c r="Q133" s="2"/>
      <c r="R133" s="102"/>
      <c r="S133" s="392"/>
      <c r="T133" s="392"/>
      <c r="U133" s="102"/>
    </row>
    <row r="134" spans="1:22" s="78" customFormat="1" x14ac:dyDescent="0.25">
      <c r="A134" s="208">
        <v>98</v>
      </c>
      <c r="B134" s="226" t="s">
        <v>322</v>
      </c>
      <c r="C134" s="99" t="s">
        <v>660</v>
      </c>
      <c r="D134" s="373" t="s">
        <v>929</v>
      </c>
      <c r="E134" s="210" t="s">
        <v>18</v>
      </c>
      <c r="F134" s="211">
        <v>16000</v>
      </c>
      <c r="G134" s="211">
        <f t="shared" si="22"/>
        <v>1600</v>
      </c>
      <c r="H134" s="211">
        <f t="shared" si="23"/>
        <v>14400</v>
      </c>
      <c r="I134" s="212">
        <v>41865</v>
      </c>
      <c r="J134" s="326">
        <v>41892</v>
      </c>
      <c r="K134" s="345">
        <f t="shared" si="26"/>
        <v>44905</v>
      </c>
      <c r="L134" s="359">
        <f>EDATE(K134,20)</f>
        <v>45514</v>
      </c>
      <c r="M134" s="213">
        <v>100</v>
      </c>
      <c r="N134" s="237">
        <v>57</v>
      </c>
      <c r="O134" s="214">
        <v>43</v>
      </c>
      <c r="P134" s="214">
        <f t="shared" si="28"/>
        <v>0</v>
      </c>
      <c r="Q134" s="80"/>
      <c r="R134" s="215">
        <v>1714000</v>
      </c>
      <c r="S134" s="216">
        <f>SUM('[96]A - 614'!$D$9:$D$65)</f>
        <v>1026000</v>
      </c>
      <c r="T134" s="216">
        <v>688000</v>
      </c>
      <c r="U134" s="215">
        <f t="shared" si="25"/>
        <v>0</v>
      </c>
    </row>
    <row r="135" spans="1:22" ht="31.5" x14ac:dyDescent="0.25">
      <c r="A135" s="239">
        <v>99</v>
      </c>
      <c r="B135" s="159" t="s">
        <v>325</v>
      </c>
      <c r="C135" s="244" t="s">
        <v>717</v>
      </c>
      <c r="D135" s="244" t="s">
        <v>929</v>
      </c>
      <c r="E135" s="241" t="s">
        <v>30</v>
      </c>
      <c r="F135" s="241">
        <v>16000</v>
      </c>
      <c r="G135" s="241">
        <f t="shared" si="22"/>
        <v>1600</v>
      </c>
      <c r="H135" s="241">
        <f t="shared" si="23"/>
        <v>14400</v>
      </c>
      <c r="I135" s="242">
        <v>41928</v>
      </c>
      <c r="J135" s="330">
        <v>41968</v>
      </c>
      <c r="K135" s="349">
        <f t="shared" si="26"/>
        <v>44982</v>
      </c>
      <c r="L135" s="349">
        <f>EDATE(K135,20)</f>
        <v>45590</v>
      </c>
      <c r="M135" s="239">
        <v>100</v>
      </c>
      <c r="N135" s="246">
        <v>55</v>
      </c>
      <c r="O135" s="246">
        <v>45</v>
      </c>
      <c r="P135" s="246">
        <v>0</v>
      </c>
      <c r="R135" s="245">
        <v>1710000</v>
      </c>
      <c r="S135" s="245">
        <f>SUM('[97]A - 701'!$D$9:$D$63)</f>
        <v>990000</v>
      </c>
      <c r="T135" s="245">
        <v>720000</v>
      </c>
      <c r="U135" s="245">
        <f t="shared" si="25"/>
        <v>0</v>
      </c>
    </row>
    <row r="136" spans="1:22" ht="31.5" x14ac:dyDescent="0.25">
      <c r="A136" s="413"/>
      <c r="B136" s="157" t="s">
        <v>851</v>
      </c>
      <c r="C136" s="415" t="s">
        <v>852</v>
      </c>
      <c r="D136" s="415"/>
      <c r="E136" s="416" t="s">
        <v>30</v>
      </c>
      <c r="F136" s="416">
        <v>31000</v>
      </c>
      <c r="G136" s="416"/>
      <c r="H136" s="416">
        <v>31000</v>
      </c>
      <c r="I136" s="417" t="s">
        <v>848</v>
      </c>
      <c r="J136" s="418" t="s">
        <v>849</v>
      </c>
      <c r="K136" s="419"/>
      <c r="L136" s="419" t="s">
        <v>850</v>
      </c>
      <c r="M136" s="413">
        <v>36</v>
      </c>
      <c r="N136" s="420"/>
      <c r="O136" s="420">
        <f>T136/F136</f>
        <v>5</v>
      </c>
      <c r="P136" s="420">
        <f>M136-O136</f>
        <v>31</v>
      </c>
      <c r="Q136" s="164"/>
      <c r="R136" s="476">
        <v>1116000</v>
      </c>
      <c r="S136" s="476"/>
      <c r="T136" s="476">
        <f>'[98]A - 701'!$D$45</f>
        <v>155000</v>
      </c>
      <c r="U136" s="476">
        <f>R136-T136</f>
        <v>961000</v>
      </c>
      <c r="V136" s="2" t="s">
        <v>903</v>
      </c>
    </row>
    <row r="137" spans="1:22" ht="16.5" customHeight="1" x14ac:dyDescent="0.25">
      <c r="A137" s="248">
        <v>100</v>
      </c>
      <c r="B137" s="255" t="s">
        <v>330</v>
      </c>
      <c r="C137" s="381" t="s">
        <v>661</v>
      </c>
      <c r="D137" s="381" t="s">
        <v>929</v>
      </c>
      <c r="E137" s="382" t="s">
        <v>30</v>
      </c>
      <c r="F137" s="382">
        <v>25000</v>
      </c>
      <c r="G137" s="382">
        <f t="shared" si="22"/>
        <v>2500</v>
      </c>
      <c r="H137" s="382">
        <f t="shared" si="23"/>
        <v>22500</v>
      </c>
      <c r="I137" s="406">
        <v>42916</v>
      </c>
      <c r="J137" s="388">
        <v>42941</v>
      </c>
      <c r="K137" s="385">
        <f t="shared" si="26"/>
        <v>45955</v>
      </c>
      <c r="L137" s="385">
        <f>EDATE(K137,20)</f>
        <v>46563</v>
      </c>
      <c r="M137" s="248">
        <v>100</v>
      </c>
      <c r="N137" s="254">
        <f>+S137/F137</f>
        <v>0</v>
      </c>
      <c r="O137" s="254">
        <f>+T137/F137</f>
        <v>85</v>
      </c>
      <c r="P137" s="254">
        <f t="shared" si="28"/>
        <v>15</v>
      </c>
      <c r="R137" s="251">
        <f>+F137*M137</f>
        <v>2500000</v>
      </c>
      <c r="S137" s="251">
        <v>0</v>
      </c>
      <c r="T137" s="251">
        <f>'[99]A - 702'!$D$121</f>
        <v>2125000</v>
      </c>
      <c r="U137" s="251">
        <f t="shared" si="25"/>
        <v>375000</v>
      </c>
    </row>
    <row r="138" spans="1:22" s="162" customFormat="1" ht="16.5" customHeight="1" x14ac:dyDescent="0.25">
      <c r="A138" s="413"/>
      <c r="B138" s="157" t="s">
        <v>333</v>
      </c>
      <c r="C138" s="451" t="s">
        <v>896</v>
      </c>
      <c r="D138" s="451" t="s">
        <v>929</v>
      </c>
      <c r="E138" s="416" t="s">
        <v>30</v>
      </c>
      <c r="F138" s="416">
        <v>31000</v>
      </c>
      <c r="G138" s="416"/>
      <c r="H138" s="416">
        <v>31000</v>
      </c>
      <c r="I138" s="417">
        <v>45665</v>
      </c>
      <c r="J138" s="418" t="s">
        <v>876</v>
      </c>
      <c r="K138" s="419"/>
      <c r="L138" s="419" t="s">
        <v>897</v>
      </c>
      <c r="M138" s="413">
        <v>36</v>
      </c>
      <c r="N138" s="420"/>
      <c r="O138" s="420">
        <f>T138/F138</f>
        <v>10</v>
      </c>
      <c r="P138" s="420">
        <f>M138-O138</f>
        <v>26</v>
      </c>
      <c r="Q138" s="164"/>
      <c r="R138" s="476">
        <f>F138*M138</f>
        <v>1116000</v>
      </c>
      <c r="S138" s="476"/>
      <c r="T138" s="476">
        <f>'[100]A - 703'!$D$45</f>
        <v>310000</v>
      </c>
      <c r="U138" s="476">
        <f>R138-T138</f>
        <v>806000</v>
      </c>
      <c r="V138" s="2" t="s">
        <v>903</v>
      </c>
    </row>
    <row r="139" spans="1:22" s="78" customFormat="1" x14ac:dyDescent="0.25">
      <c r="A139" s="208">
        <v>101</v>
      </c>
      <c r="B139" s="226" t="s">
        <v>333</v>
      </c>
      <c r="C139" s="99" t="s">
        <v>662</v>
      </c>
      <c r="D139" s="373" t="s">
        <v>929</v>
      </c>
      <c r="E139" s="210" t="s">
        <v>18</v>
      </c>
      <c r="F139" s="211">
        <v>16000</v>
      </c>
      <c r="G139" s="211">
        <f t="shared" si="22"/>
        <v>1600</v>
      </c>
      <c r="H139" s="211">
        <f t="shared" si="23"/>
        <v>14400</v>
      </c>
      <c r="I139" s="212">
        <v>41804</v>
      </c>
      <c r="J139" s="326">
        <v>41830</v>
      </c>
      <c r="K139" s="345">
        <f t="shared" si="26"/>
        <v>44844</v>
      </c>
      <c r="L139" s="359">
        <f t="shared" ref="L139:L150" si="29">EDATE(K139,20)</f>
        <v>45453</v>
      </c>
      <c r="M139" s="213">
        <v>100</v>
      </c>
      <c r="N139" s="237">
        <v>60</v>
      </c>
      <c r="O139" s="214">
        <v>40</v>
      </c>
      <c r="P139" s="214">
        <v>0</v>
      </c>
      <c r="Q139" s="80"/>
      <c r="R139" s="215">
        <v>1720000</v>
      </c>
      <c r="S139" s="216">
        <f>SUM('[101]A - 703'!$D$9:$D$67)</f>
        <v>1062000</v>
      </c>
      <c r="T139" s="216">
        <f>SUM('[102]A - 703'!$D$68:$D$120)</f>
        <v>648000</v>
      </c>
      <c r="U139" s="215">
        <v>0</v>
      </c>
    </row>
    <row r="140" spans="1:22" ht="31.5" x14ac:dyDescent="0.25">
      <c r="A140" s="248">
        <v>102</v>
      </c>
      <c r="B140" s="255" t="s">
        <v>337</v>
      </c>
      <c r="C140" s="250" t="s">
        <v>718</v>
      </c>
      <c r="D140" s="250" t="s">
        <v>929</v>
      </c>
      <c r="E140" s="382" t="s">
        <v>30</v>
      </c>
      <c r="F140" s="382">
        <v>25000</v>
      </c>
      <c r="G140" s="382">
        <f t="shared" si="22"/>
        <v>2500</v>
      </c>
      <c r="H140" s="382">
        <f t="shared" si="23"/>
        <v>22500</v>
      </c>
      <c r="I140" s="406">
        <v>42916</v>
      </c>
      <c r="J140" s="388">
        <v>42941</v>
      </c>
      <c r="K140" s="385">
        <f t="shared" si="26"/>
        <v>45955</v>
      </c>
      <c r="L140" s="385">
        <f t="shared" si="29"/>
        <v>46563</v>
      </c>
      <c r="M140" s="248">
        <v>100</v>
      </c>
      <c r="N140" s="254">
        <f>+S140/F140</f>
        <v>0</v>
      </c>
      <c r="O140" s="254">
        <f>+T140/F140</f>
        <v>84</v>
      </c>
      <c r="P140" s="254">
        <f t="shared" si="28"/>
        <v>16</v>
      </c>
      <c r="R140" s="251">
        <f>+F140*M140</f>
        <v>2500000</v>
      </c>
      <c r="S140" s="251">
        <v>0</v>
      </c>
      <c r="T140" s="251">
        <f>'[103]A - 704'!$D$121</f>
        <v>2100000</v>
      </c>
      <c r="U140" s="251">
        <f t="shared" si="25"/>
        <v>400000</v>
      </c>
    </row>
    <row r="141" spans="1:22" s="78" customFormat="1" x14ac:dyDescent="0.25">
      <c r="A141" s="146">
        <v>103</v>
      </c>
      <c r="B141" s="81" t="s">
        <v>341</v>
      </c>
      <c r="C141" s="82" t="s">
        <v>663</v>
      </c>
      <c r="D141" s="372" t="s">
        <v>929</v>
      </c>
      <c r="E141" s="148" t="s">
        <v>18</v>
      </c>
      <c r="F141" s="149">
        <v>16000</v>
      </c>
      <c r="G141" s="149">
        <f t="shared" si="22"/>
        <v>1600</v>
      </c>
      <c r="H141" s="149">
        <f t="shared" si="23"/>
        <v>14400</v>
      </c>
      <c r="I141" s="166">
        <v>41830</v>
      </c>
      <c r="J141" s="329">
        <v>41861</v>
      </c>
      <c r="K141" s="348">
        <f t="shared" si="26"/>
        <v>44875</v>
      </c>
      <c r="L141" s="362">
        <f t="shared" si="29"/>
        <v>45483</v>
      </c>
      <c r="M141" s="150">
        <v>100</v>
      </c>
      <c r="N141" s="172">
        <v>59</v>
      </c>
      <c r="O141" s="151">
        <f>+T141/F141</f>
        <v>41</v>
      </c>
      <c r="P141" s="151">
        <f t="shared" si="28"/>
        <v>0</v>
      </c>
      <c r="Q141" s="2"/>
      <c r="R141" s="152">
        <v>1659000</v>
      </c>
      <c r="S141" s="153">
        <f>SUM('[104]A - 705'!$D$9:$D$67)</f>
        <v>1003000</v>
      </c>
      <c r="T141" s="153">
        <f>SUM('[105]A - 705'!$D$68:$D$108)</f>
        <v>656000</v>
      </c>
      <c r="U141" s="152">
        <f t="shared" si="25"/>
        <v>0</v>
      </c>
    </row>
    <row r="142" spans="1:22" s="78" customFormat="1" x14ac:dyDescent="0.25">
      <c r="A142" s="155">
        <v>104</v>
      </c>
      <c r="B142" s="96" t="s">
        <v>343</v>
      </c>
      <c r="C142" s="99" t="s">
        <v>664</v>
      </c>
      <c r="D142" s="373" t="s">
        <v>929</v>
      </c>
      <c r="E142" s="87" t="s">
        <v>18</v>
      </c>
      <c r="F142" s="88">
        <v>20000</v>
      </c>
      <c r="G142" s="88">
        <f t="shared" si="22"/>
        <v>2000</v>
      </c>
      <c r="H142" s="88">
        <f t="shared" si="23"/>
        <v>18000</v>
      </c>
      <c r="I142" s="89">
        <v>42111</v>
      </c>
      <c r="J142" s="328">
        <v>42134</v>
      </c>
      <c r="K142" s="347">
        <f t="shared" si="26"/>
        <v>45148</v>
      </c>
      <c r="L142" s="361">
        <f t="shared" si="29"/>
        <v>45757</v>
      </c>
      <c r="M142" s="90">
        <v>100</v>
      </c>
      <c r="N142" s="91">
        <f>+S142</f>
        <v>0</v>
      </c>
      <c r="O142" s="91">
        <f>+T142/F142</f>
        <v>0</v>
      </c>
      <c r="P142" s="91">
        <f t="shared" si="28"/>
        <v>100</v>
      </c>
      <c r="Q142" s="2"/>
      <c r="R142" s="92">
        <f>+F142*M142</f>
        <v>2000000</v>
      </c>
      <c r="S142" s="93">
        <v>0</v>
      </c>
      <c r="T142" s="93">
        <f>'[106]A - 706'!$D$122</f>
        <v>0</v>
      </c>
      <c r="U142" s="92">
        <f t="shared" si="25"/>
        <v>2000000</v>
      </c>
    </row>
    <row r="143" spans="1:22" s="78" customFormat="1" x14ac:dyDescent="0.25">
      <c r="A143" s="460"/>
      <c r="B143" s="461" t="s">
        <v>951</v>
      </c>
      <c r="C143" s="462" t="s">
        <v>952</v>
      </c>
      <c r="D143" s="463" t="s">
        <v>929</v>
      </c>
      <c r="E143" s="464" t="s">
        <v>18</v>
      </c>
      <c r="F143" s="465">
        <v>31000</v>
      </c>
      <c r="G143" s="465"/>
      <c r="H143" s="465"/>
      <c r="I143" s="466">
        <v>45942</v>
      </c>
      <c r="J143" s="467">
        <v>46296</v>
      </c>
      <c r="K143" s="468"/>
      <c r="L143" s="469">
        <v>47038</v>
      </c>
      <c r="M143" s="470">
        <v>36</v>
      </c>
      <c r="N143" s="472"/>
      <c r="O143" s="151">
        <f>+T143/F143</f>
        <v>5</v>
      </c>
      <c r="P143" s="472">
        <f>M143-O143</f>
        <v>31</v>
      </c>
      <c r="Q143" s="164"/>
      <c r="R143" s="473">
        <v>1116000</v>
      </c>
      <c r="S143" s="474"/>
      <c r="T143" s="474">
        <f>31000*5</f>
        <v>155000</v>
      </c>
      <c r="U143" s="473">
        <f>R143-T143</f>
        <v>961000</v>
      </c>
      <c r="V143" s="164"/>
    </row>
    <row r="144" spans="1:22" s="78" customFormat="1" x14ac:dyDescent="0.25">
      <c r="A144" s="155">
        <v>105</v>
      </c>
      <c r="B144" s="96" t="s">
        <v>347</v>
      </c>
      <c r="C144" s="99" t="s">
        <v>665</v>
      </c>
      <c r="D144" s="373" t="s">
        <v>929</v>
      </c>
      <c r="E144" s="87" t="s">
        <v>18</v>
      </c>
      <c r="F144" s="88">
        <v>16000</v>
      </c>
      <c r="G144" s="88">
        <f t="shared" si="22"/>
        <v>1600</v>
      </c>
      <c r="H144" s="88">
        <f t="shared" si="23"/>
        <v>14400</v>
      </c>
      <c r="I144" s="89">
        <v>41883</v>
      </c>
      <c r="J144" s="328">
        <v>41922</v>
      </c>
      <c r="K144" s="347">
        <f t="shared" si="26"/>
        <v>44936</v>
      </c>
      <c r="L144" s="361">
        <f t="shared" si="29"/>
        <v>45545</v>
      </c>
      <c r="M144" s="90">
        <v>100</v>
      </c>
      <c r="N144" s="95">
        <v>56</v>
      </c>
      <c r="O144" s="91">
        <v>44</v>
      </c>
      <c r="P144" s="91">
        <f t="shared" si="28"/>
        <v>0</v>
      </c>
      <c r="Q144" s="80"/>
      <c r="R144" s="92">
        <v>2000000</v>
      </c>
      <c r="S144" s="93">
        <f>SUM('[107]A - 707'!$D$9:$D$64)</f>
        <v>1008000</v>
      </c>
      <c r="T144" s="93">
        <f>R144-S144</f>
        <v>992000</v>
      </c>
      <c r="U144" s="92">
        <f t="shared" si="25"/>
        <v>0</v>
      </c>
    </row>
    <row r="145" spans="1:22" s="80" customFormat="1" x14ac:dyDescent="0.25">
      <c r="A145" s="155">
        <v>106</v>
      </c>
      <c r="B145" s="85" t="s">
        <v>351</v>
      </c>
      <c r="C145" s="94" t="s">
        <v>666</v>
      </c>
      <c r="D145" s="371" t="s">
        <v>929</v>
      </c>
      <c r="E145" s="87" t="s">
        <v>18</v>
      </c>
      <c r="F145" s="88">
        <v>16000</v>
      </c>
      <c r="G145" s="88">
        <f t="shared" si="22"/>
        <v>1600</v>
      </c>
      <c r="H145" s="88">
        <f t="shared" si="23"/>
        <v>14400</v>
      </c>
      <c r="I145" s="89">
        <v>41711</v>
      </c>
      <c r="J145" s="328">
        <v>41769</v>
      </c>
      <c r="K145" s="347">
        <f t="shared" si="26"/>
        <v>44783</v>
      </c>
      <c r="L145" s="361">
        <f t="shared" si="29"/>
        <v>45392</v>
      </c>
      <c r="M145" s="90">
        <v>100</v>
      </c>
      <c r="N145" s="91">
        <f>+S145</f>
        <v>0</v>
      </c>
      <c r="O145" s="91">
        <f>+T145/F145</f>
        <v>100</v>
      </c>
      <c r="P145" s="91">
        <f t="shared" si="28"/>
        <v>0</v>
      </c>
      <c r="R145" s="92">
        <f t="shared" ref="R145:R151" si="30">+F145*M145</f>
        <v>1600000</v>
      </c>
      <c r="S145" s="93">
        <v>0</v>
      </c>
      <c r="T145" s="93">
        <v>1600000</v>
      </c>
      <c r="U145" s="92">
        <f t="shared" si="25"/>
        <v>0</v>
      </c>
    </row>
    <row r="146" spans="1:22" s="80" customFormat="1" x14ac:dyDescent="0.25">
      <c r="A146" s="477"/>
      <c r="B146" s="478" t="s">
        <v>953</v>
      </c>
      <c r="C146" s="462" t="s">
        <v>954</v>
      </c>
      <c r="D146" s="463" t="s">
        <v>929</v>
      </c>
      <c r="E146" s="479" t="s">
        <v>18</v>
      </c>
      <c r="F146" s="480">
        <v>31000</v>
      </c>
      <c r="G146" s="480">
        <f t="shared" si="22"/>
        <v>3100</v>
      </c>
      <c r="H146" s="480">
        <f t="shared" si="23"/>
        <v>27900</v>
      </c>
      <c r="I146" s="481" t="s">
        <v>955</v>
      </c>
      <c r="J146" s="482" t="s">
        <v>956</v>
      </c>
      <c r="K146" s="483"/>
      <c r="L146" s="484">
        <v>47395</v>
      </c>
      <c r="M146" s="485">
        <v>36</v>
      </c>
      <c r="N146" s="486"/>
      <c r="O146" s="486">
        <v>1</v>
      </c>
      <c r="P146" s="486">
        <f>M146-O146</f>
        <v>35</v>
      </c>
      <c r="Q146" s="164"/>
      <c r="R146" s="487">
        <v>1116000</v>
      </c>
      <c r="S146" s="488"/>
      <c r="T146" s="488">
        <v>31000</v>
      </c>
      <c r="U146" s="487">
        <f>R146-T146</f>
        <v>1085000</v>
      </c>
      <c r="V146" s="164"/>
    </row>
    <row r="147" spans="1:22" s="78" customFormat="1" ht="31.5" x14ac:dyDescent="0.25">
      <c r="A147" s="227">
        <v>107</v>
      </c>
      <c r="B147" s="228" t="s">
        <v>356</v>
      </c>
      <c r="C147" s="154" t="s">
        <v>735</v>
      </c>
      <c r="D147" s="374" t="s">
        <v>929</v>
      </c>
      <c r="E147" s="229" t="s">
        <v>18</v>
      </c>
      <c r="F147" s="230">
        <v>22000</v>
      </c>
      <c r="G147" s="230">
        <f t="shared" si="22"/>
        <v>2200</v>
      </c>
      <c r="H147" s="230">
        <f t="shared" si="23"/>
        <v>19800</v>
      </c>
      <c r="I147" s="295">
        <v>42215</v>
      </c>
      <c r="J147" s="336">
        <v>42257</v>
      </c>
      <c r="K147" s="351">
        <f t="shared" si="26"/>
        <v>45270</v>
      </c>
      <c r="L147" s="365">
        <f t="shared" si="29"/>
        <v>45879</v>
      </c>
      <c r="M147" s="231">
        <v>100</v>
      </c>
      <c r="N147" s="232">
        <f>+S147</f>
        <v>0</v>
      </c>
      <c r="O147" s="232">
        <f>+T147/F147</f>
        <v>99</v>
      </c>
      <c r="P147" s="232">
        <f t="shared" si="28"/>
        <v>1</v>
      </c>
      <c r="Q147" s="2"/>
      <c r="R147" s="233">
        <f t="shared" si="30"/>
        <v>2200000</v>
      </c>
      <c r="S147" s="234">
        <v>0</v>
      </c>
      <c r="T147" s="234">
        <f>'[108]A - 709'!$D$124</f>
        <v>2178000</v>
      </c>
      <c r="U147" s="233">
        <f t="shared" si="25"/>
        <v>22000</v>
      </c>
    </row>
    <row r="148" spans="1:22" s="78" customFormat="1" ht="31.5" x14ac:dyDescent="0.25">
      <c r="A148" s="248">
        <v>108</v>
      </c>
      <c r="B148" s="255" t="s">
        <v>363</v>
      </c>
      <c r="C148" s="381" t="s">
        <v>669</v>
      </c>
      <c r="D148" s="381" t="s">
        <v>929</v>
      </c>
      <c r="E148" s="382" t="s">
        <v>18</v>
      </c>
      <c r="F148" s="382">
        <v>22000</v>
      </c>
      <c r="G148" s="382">
        <f t="shared" si="22"/>
        <v>2200</v>
      </c>
      <c r="H148" s="382">
        <f t="shared" si="23"/>
        <v>19800</v>
      </c>
      <c r="I148" s="406">
        <v>42581</v>
      </c>
      <c r="J148" s="388">
        <v>42592</v>
      </c>
      <c r="K148" s="385">
        <f t="shared" si="26"/>
        <v>45606</v>
      </c>
      <c r="L148" s="385">
        <f t="shared" si="29"/>
        <v>46213</v>
      </c>
      <c r="M148" s="248">
        <v>100</v>
      </c>
      <c r="N148" s="254">
        <f>+S148</f>
        <v>0</v>
      </c>
      <c r="O148" s="254">
        <f>+T148/F148</f>
        <v>96</v>
      </c>
      <c r="P148" s="254">
        <f t="shared" si="28"/>
        <v>4</v>
      </c>
      <c r="Q148" s="2"/>
      <c r="R148" s="387">
        <f t="shared" si="30"/>
        <v>2200000</v>
      </c>
      <c r="S148" s="387">
        <v>0</v>
      </c>
      <c r="T148" s="387">
        <f>'[109]A - 710'!$D$121</f>
        <v>2112000</v>
      </c>
      <c r="U148" s="387">
        <f t="shared" si="25"/>
        <v>88000</v>
      </c>
      <c r="V148" s="2"/>
    </row>
    <row r="149" spans="1:22" ht="31.5" x14ac:dyDescent="0.25">
      <c r="A149" s="248">
        <v>109</v>
      </c>
      <c r="B149" s="255" t="s">
        <v>367</v>
      </c>
      <c r="C149" s="381" t="s">
        <v>670</v>
      </c>
      <c r="D149" s="381" t="s">
        <v>929</v>
      </c>
      <c r="E149" s="382" t="s">
        <v>30</v>
      </c>
      <c r="F149" s="382">
        <v>25000</v>
      </c>
      <c r="G149" s="382">
        <f t="shared" ref="G149:G191" si="31">+F149*10%</f>
        <v>2500</v>
      </c>
      <c r="H149" s="382">
        <f t="shared" ref="H149:H191" si="32">+F149-G149:G149</f>
        <v>22500</v>
      </c>
      <c r="I149" s="406">
        <v>42476</v>
      </c>
      <c r="J149" s="388">
        <v>42515</v>
      </c>
      <c r="K149" s="385">
        <f t="shared" si="26"/>
        <v>45529</v>
      </c>
      <c r="L149" s="385">
        <f t="shared" si="29"/>
        <v>46137</v>
      </c>
      <c r="M149" s="248">
        <v>100</v>
      </c>
      <c r="N149" s="254">
        <f>+S149/F149</f>
        <v>0</v>
      </c>
      <c r="O149" s="254">
        <f>+T149/F149</f>
        <v>99</v>
      </c>
      <c r="P149" s="254">
        <f t="shared" si="28"/>
        <v>1</v>
      </c>
      <c r="R149" s="251">
        <f t="shared" si="30"/>
        <v>2500000</v>
      </c>
      <c r="S149" s="251">
        <v>0</v>
      </c>
      <c r="T149" s="251">
        <f>'[110]A - 711'!$D$123</f>
        <v>2475000</v>
      </c>
      <c r="U149" s="251">
        <f t="shared" si="25"/>
        <v>25000</v>
      </c>
    </row>
    <row r="150" spans="1:22" s="78" customFormat="1" ht="31.5" x14ac:dyDescent="0.25">
      <c r="A150" s="63">
        <v>110</v>
      </c>
      <c r="B150" s="27" t="s">
        <v>372</v>
      </c>
      <c r="C150" s="34" t="s">
        <v>719</v>
      </c>
      <c r="D150" s="448" t="s">
        <v>929</v>
      </c>
      <c r="E150" s="30" t="s">
        <v>18</v>
      </c>
      <c r="F150" s="19">
        <v>30000</v>
      </c>
      <c r="G150" s="19">
        <f t="shared" si="31"/>
        <v>3000</v>
      </c>
      <c r="H150" s="19">
        <f t="shared" si="32"/>
        <v>27000</v>
      </c>
      <c r="I150" s="103">
        <v>42755</v>
      </c>
      <c r="J150" s="339">
        <v>42776</v>
      </c>
      <c r="K150" s="353">
        <f t="shared" si="26"/>
        <v>45787</v>
      </c>
      <c r="L150" s="367">
        <f t="shared" si="29"/>
        <v>46397</v>
      </c>
      <c r="M150" s="28">
        <v>100</v>
      </c>
      <c r="N150" s="391">
        <f>+S150</f>
        <v>0</v>
      </c>
      <c r="O150" s="391">
        <f>+T150/F150</f>
        <v>90</v>
      </c>
      <c r="P150" s="391">
        <f t="shared" si="28"/>
        <v>10</v>
      </c>
      <c r="Q150" s="2"/>
      <c r="R150" s="102">
        <f t="shared" si="30"/>
        <v>3000000</v>
      </c>
      <c r="S150" s="392">
        <v>0</v>
      </c>
      <c r="T150" s="392">
        <f>'[111]A - 712'!$D$121</f>
        <v>2700000</v>
      </c>
      <c r="U150" s="102">
        <f t="shared" si="25"/>
        <v>300000</v>
      </c>
      <c r="V150" s="2"/>
    </row>
    <row r="151" spans="1:22" x14ac:dyDescent="0.25">
      <c r="A151" s="63">
        <v>111</v>
      </c>
      <c r="B151" s="27" t="s">
        <v>831</v>
      </c>
      <c r="C151" s="34" t="s">
        <v>832</v>
      </c>
      <c r="D151" s="448" t="s">
        <v>929</v>
      </c>
      <c r="E151" s="30" t="s">
        <v>18</v>
      </c>
      <c r="F151" s="19">
        <v>31000</v>
      </c>
      <c r="G151" s="19">
        <v>0</v>
      </c>
      <c r="H151" s="19">
        <f t="shared" si="32"/>
        <v>31000</v>
      </c>
      <c r="I151" s="422" t="s">
        <v>957</v>
      </c>
      <c r="J151" s="339">
        <v>45938</v>
      </c>
      <c r="K151" s="353"/>
      <c r="L151" s="367">
        <v>47033</v>
      </c>
      <c r="M151" s="28">
        <v>36</v>
      </c>
      <c r="N151" s="391"/>
      <c r="O151" s="391">
        <f>T151/F151</f>
        <v>10</v>
      </c>
      <c r="P151" s="391">
        <f>M151-O151</f>
        <v>26</v>
      </c>
      <c r="R151" s="102">
        <f t="shared" si="30"/>
        <v>1116000</v>
      </c>
      <c r="S151" s="392"/>
      <c r="T151" s="392">
        <f>'[112]A - 713'!$D$45</f>
        <v>310000</v>
      </c>
      <c r="U151" s="102">
        <f>R151-T151</f>
        <v>806000</v>
      </c>
    </row>
    <row r="152" spans="1:22" s="78" customFormat="1" x14ac:dyDescent="0.25">
      <c r="A152" s="208">
        <v>112</v>
      </c>
      <c r="B152" s="226" t="s">
        <v>376</v>
      </c>
      <c r="C152" s="99" t="s">
        <v>671</v>
      </c>
      <c r="D152" s="373" t="s">
        <v>929</v>
      </c>
      <c r="E152" s="210" t="s">
        <v>18</v>
      </c>
      <c r="F152" s="211">
        <v>16000</v>
      </c>
      <c r="G152" s="211">
        <f t="shared" si="31"/>
        <v>1600</v>
      </c>
      <c r="H152" s="211">
        <f t="shared" si="32"/>
        <v>14400</v>
      </c>
      <c r="I152" s="212">
        <v>41814</v>
      </c>
      <c r="J152" s="326">
        <v>41830</v>
      </c>
      <c r="K152" s="345">
        <f t="shared" si="26"/>
        <v>44844</v>
      </c>
      <c r="L152" s="359">
        <f>EDATE(K152,20)</f>
        <v>45453</v>
      </c>
      <c r="M152" s="213">
        <v>100</v>
      </c>
      <c r="N152" s="237">
        <v>59</v>
      </c>
      <c r="O152" s="214">
        <v>41</v>
      </c>
      <c r="P152" s="214">
        <f t="shared" si="28"/>
        <v>0</v>
      </c>
      <c r="Q152" s="80"/>
      <c r="R152" s="215">
        <v>1718000</v>
      </c>
      <c r="S152" s="216">
        <f>SUM('[113]A - 714'!$D$9:$D$67)</f>
        <v>1062000</v>
      </c>
      <c r="T152" s="216">
        <v>656000</v>
      </c>
      <c r="U152" s="215">
        <f t="shared" si="25"/>
        <v>0</v>
      </c>
    </row>
    <row r="153" spans="1:22" s="162" customFormat="1" x14ac:dyDescent="0.25">
      <c r="A153" s="413"/>
      <c r="B153" s="157" t="s">
        <v>898</v>
      </c>
      <c r="C153" s="451" t="s">
        <v>899</v>
      </c>
      <c r="D153" s="451" t="s">
        <v>929</v>
      </c>
      <c r="E153" s="416" t="s">
        <v>30</v>
      </c>
      <c r="F153" s="416">
        <v>31000</v>
      </c>
      <c r="G153" s="416">
        <v>0</v>
      </c>
      <c r="H153" s="416">
        <f t="shared" si="32"/>
        <v>31000</v>
      </c>
      <c r="I153" s="417" t="s">
        <v>848</v>
      </c>
      <c r="J153" s="418" t="s">
        <v>849</v>
      </c>
      <c r="K153" s="419"/>
      <c r="L153" s="419" t="s">
        <v>850</v>
      </c>
      <c r="M153" s="413">
        <v>36</v>
      </c>
      <c r="N153" s="459"/>
      <c r="O153" s="420">
        <f>T153/F153</f>
        <v>5</v>
      </c>
      <c r="P153" s="420">
        <f>M153-O153</f>
        <v>31</v>
      </c>
      <c r="Q153" s="164"/>
      <c r="R153" s="421">
        <f>F153*M153</f>
        <v>1116000</v>
      </c>
      <c r="S153" s="421"/>
      <c r="T153" s="421">
        <f>'[114]A - 714'!$D$45</f>
        <v>155000</v>
      </c>
      <c r="U153" s="421">
        <f>R153-T153</f>
        <v>961000</v>
      </c>
    </row>
    <row r="154" spans="1:22" s="78" customFormat="1" x14ac:dyDescent="0.25">
      <c r="A154" s="208"/>
      <c r="B154" s="226" t="s">
        <v>381</v>
      </c>
      <c r="C154" s="99" t="s">
        <v>672</v>
      </c>
      <c r="D154" s="373"/>
      <c r="E154" s="210" t="s">
        <v>18</v>
      </c>
      <c r="F154" s="211">
        <v>16000</v>
      </c>
      <c r="G154" s="211">
        <f t="shared" si="31"/>
        <v>1600</v>
      </c>
      <c r="H154" s="211">
        <f t="shared" si="32"/>
        <v>14400</v>
      </c>
      <c r="I154" s="212">
        <v>41830</v>
      </c>
      <c r="J154" s="326">
        <v>41861</v>
      </c>
      <c r="K154" s="345">
        <f t="shared" si="26"/>
        <v>44875</v>
      </c>
      <c r="L154" s="359">
        <f>EDATE(K154,20)</f>
        <v>45483</v>
      </c>
      <c r="M154" s="213">
        <v>100</v>
      </c>
      <c r="N154" s="237">
        <v>100</v>
      </c>
      <c r="O154" s="214">
        <f>+T154/F154</f>
        <v>0</v>
      </c>
      <c r="P154" s="214">
        <v>0</v>
      </c>
      <c r="Q154" s="80"/>
      <c r="R154" s="215">
        <v>1600000</v>
      </c>
      <c r="S154" s="216">
        <f>SUM('[115]For Bank'!$D$9:$D$65)</f>
        <v>0</v>
      </c>
      <c r="T154" s="216">
        <f>SUM('[116]Master File'!$D$66:$D$122)</f>
        <v>0</v>
      </c>
      <c r="U154" s="215"/>
    </row>
    <row r="155" spans="1:22" s="164" customFormat="1" x14ac:dyDescent="0.25">
      <c r="A155" s="413">
        <v>113</v>
      </c>
      <c r="B155" s="157" t="s">
        <v>836</v>
      </c>
      <c r="C155" s="451" t="s">
        <v>837</v>
      </c>
      <c r="D155" s="451" t="s">
        <v>929</v>
      </c>
      <c r="E155" s="416" t="s">
        <v>30</v>
      </c>
      <c r="F155" s="416">
        <v>35000</v>
      </c>
      <c r="G155" s="416"/>
      <c r="H155" s="416">
        <v>35000</v>
      </c>
      <c r="I155" s="417"/>
      <c r="J155" s="418" t="s">
        <v>876</v>
      </c>
      <c r="K155" s="419"/>
      <c r="L155" s="419" t="s">
        <v>958</v>
      </c>
      <c r="M155" s="413">
        <v>36</v>
      </c>
      <c r="N155" s="459"/>
      <c r="O155" s="420">
        <f>T155/F155</f>
        <v>10</v>
      </c>
      <c r="P155" s="420">
        <f>M155-O155</f>
        <v>26</v>
      </c>
      <c r="R155" s="421">
        <f>F155*M155</f>
        <v>1260000</v>
      </c>
      <c r="S155" s="421"/>
      <c r="T155" s="421">
        <f>'[117]A - 801'!$D$45</f>
        <v>350000</v>
      </c>
      <c r="U155" s="421">
        <f>R155-T155</f>
        <v>910000</v>
      </c>
    </row>
    <row r="156" spans="1:22" s="80" customFormat="1" x14ac:dyDescent="0.25">
      <c r="A156" s="155">
        <v>114</v>
      </c>
      <c r="B156" s="85" t="s">
        <v>386</v>
      </c>
      <c r="C156" s="99" t="s">
        <v>673</v>
      </c>
      <c r="D156" s="373" t="s">
        <v>960</v>
      </c>
      <c r="E156" s="87" t="s">
        <v>18</v>
      </c>
      <c r="F156" s="88">
        <v>16000</v>
      </c>
      <c r="G156" s="88">
        <f t="shared" si="31"/>
        <v>1600</v>
      </c>
      <c r="H156" s="88">
        <f t="shared" si="32"/>
        <v>14400</v>
      </c>
      <c r="I156" s="89">
        <v>41890</v>
      </c>
      <c r="J156" s="328">
        <v>41922</v>
      </c>
      <c r="K156" s="347">
        <f t="shared" si="26"/>
        <v>44936</v>
      </c>
      <c r="L156" s="361">
        <f>EDATE(K156,20)</f>
        <v>45545</v>
      </c>
      <c r="M156" s="90">
        <v>100</v>
      </c>
      <c r="N156" s="95">
        <v>56</v>
      </c>
      <c r="O156" s="91">
        <f>+T156/F156</f>
        <v>18</v>
      </c>
      <c r="P156" s="91">
        <f t="shared" si="28"/>
        <v>26</v>
      </c>
      <c r="R156" s="92">
        <v>1712000</v>
      </c>
      <c r="S156" s="93">
        <f>SUM('[118]A - 802'!$D$9:$D$64)</f>
        <v>1008000</v>
      </c>
      <c r="T156" s="93">
        <v>288000</v>
      </c>
      <c r="U156" s="92">
        <f t="shared" si="25"/>
        <v>416000</v>
      </c>
      <c r="V156" s="80" t="s">
        <v>959</v>
      </c>
    </row>
    <row r="157" spans="1:22" s="80" customFormat="1" x14ac:dyDescent="0.25">
      <c r="A157" s="217"/>
      <c r="B157" s="218" t="s">
        <v>900</v>
      </c>
      <c r="C157" s="161" t="s">
        <v>687</v>
      </c>
      <c r="D157" s="377" t="s">
        <v>929</v>
      </c>
      <c r="E157" s="219" t="s">
        <v>18</v>
      </c>
      <c r="F157" s="220">
        <v>31000</v>
      </c>
      <c r="G157" s="220">
        <v>0</v>
      </c>
      <c r="H157" s="220">
        <v>31000</v>
      </c>
      <c r="I157" s="236">
        <v>45971</v>
      </c>
      <c r="J157" s="327">
        <v>45941</v>
      </c>
      <c r="K157" s="346"/>
      <c r="L157" s="364">
        <v>47766</v>
      </c>
      <c r="M157" s="222">
        <v>60</v>
      </c>
      <c r="N157" s="238"/>
      <c r="O157" s="223">
        <f>T157/F157</f>
        <v>7</v>
      </c>
      <c r="P157" s="223">
        <f>M157-O157</f>
        <v>53</v>
      </c>
      <c r="Q157" s="162"/>
      <c r="R157" s="224">
        <f>F157*M157</f>
        <v>1860000</v>
      </c>
      <c r="S157" s="225"/>
      <c r="T157" s="225">
        <f>'[119]A - 803'!$D$69</f>
        <v>217000</v>
      </c>
      <c r="U157" s="224">
        <f>R157-T157</f>
        <v>1643000</v>
      </c>
    </row>
    <row r="158" spans="1:22" x14ac:dyDescent="0.25">
      <c r="A158" s="239">
        <v>115</v>
      </c>
      <c r="B158" s="159" t="s">
        <v>389</v>
      </c>
      <c r="C158" s="240" t="s">
        <v>674</v>
      </c>
      <c r="D158" s="240" t="s">
        <v>929</v>
      </c>
      <c r="E158" s="241" t="s">
        <v>30</v>
      </c>
      <c r="F158" s="241">
        <v>16000</v>
      </c>
      <c r="G158" s="241">
        <f t="shared" si="31"/>
        <v>1600</v>
      </c>
      <c r="H158" s="241">
        <f t="shared" si="32"/>
        <v>14400</v>
      </c>
      <c r="I158" s="242">
        <v>41926</v>
      </c>
      <c r="J158" s="330">
        <v>41998</v>
      </c>
      <c r="K158" s="349">
        <f t="shared" si="26"/>
        <v>45010</v>
      </c>
      <c r="L158" s="349">
        <f>EDATE(K158,20)</f>
        <v>45621</v>
      </c>
      <c r="M158" s="239">
        <v>100</v>
      </c>
      <c r="N158" s="246">
        <v>54</v>
      </c>
      <c r="O158" s="246">
        <v>46</v>
      </c>
      <c r="P158" s="246">
        <v>0</v>
      </c>
      <c r="R158" s="245">
        <v>1708000</v>
      </c>
      <c r="S158" s="245">
        <v>972000</v>
      </c>
      <c r="T158" s="245">
        <f>SUM('[120]A - 803'!$D$63:$D$122)</f>
        <v>736000</v>
      </c>
      <c r="U158" s="245">
        <f t="shared" si="25"/>
        <v>0</v>
      </c>
    </row>
    <row r="159" spans="1:22" x14ac:dyDescent="0.25">
      <c r="A159" s="248">
        <v>116</v>
      </c>
      <c r="B159" s="255" t="s">
        <v>393</v>
      </c>
      <c r="C159" s="381" t="s">
        <v>675</v>
      </c>
      <c r="D159" s="381" t="s">
        <v>929</v>
      </c>
      <c r="E159" s="382" t="s">
        <v>30</v>
      </c>
      <c r="F159" s="382">
        <v>30000</v>
      </c>
      <c r="G159" s="382">
        <f t="shared" si="31"/>
        <v>3000</v>
      </c>
      <c r="H159" s="382">
        <f t="shared" si="32"/>
        <v>27000</v>
      </c>
      <c r="I159" s="406">
        <v>42916</v>
      </c>
      <c r="J159" s="388">
        <v>42941</v>
      </c>
      <c r="K159" s="385">
        <f t="shared" si="26"/>
        <v>45955</v>
      </c>
      <c r="L159" s="385">
        <f>EDATE(K159,20)</f>
        <v>46563</v>
      </c>
      <c r="M159" s="248">
        <v>100</v>
      </c>
      <c r="N159" s="254">
        <f>+S159/F159</f>
        <v>0</v>
      </c>
      <c r="O159" s="254">
        <f>+T159/F159</f>
        <v>85</v>
      </c>
      <c r="P159" s="254">
        <f t="shared" si="28"/>
        <v>15</v>
      </c>
      <c r="R159" s="251">
        <f>+F159*M159</f>
        <v>3000000</v>
      </c>
      <c r="S159" s="251">
        <v>0</v>
      </c>
      <c r="T159" s="251">
        <f>'[121]A - 804'!$D$121</f>
        <v>2550000</v>
      </c>
      <c r="U159" s="251">
        <f t="shared" si="25"/>
        <v>450000</v>
      </c>
    </row>
    <row r="160" spans="1:22" x14ac:dyDescent="0.25">
      <c r="A160" s="239"/>
      <c r="B160" s="159" t="s">
        <v>397</v>
      </c>
      <c r="C160" s="240" t="s">
        <v>676</v>
      </c>
      <c r="D160" s="240"/>
      <c r="E160" s="241" t="s">
        <v>30</v>
      </c>
      <c r="F160" s="241">
        <v>22000</v>
      </c>
      <c r="G160" s="241">
        <f t="shared" si="31"/>
        <v>2200</v>
      </c>
      <c r="H160" s="241">
        <f t="shared" si="32"/>
        <v>19800</v>
      </c>
      <c r="I160" s="242">
        <v>42149</v>
      </c>
      <c r="J160" s="330">
        <v>42180</v>
      </c>
      <c r="K160" s="349">
        <f t="shared" si="26"/>
        <v>45194</v>
      </c>
      <c r="L160" s="349">
        <f>EDATE(K160,20)</f>
        <v>45802</v>
      </c>
      <c r="M160" s="239">
        <v>100</v>
      </c>
      <c r="N160" s="246">
        <f>+S160/F160</f>
        <v>0</v>
      </c>
      <c r="O160" s="246">
        <f>+T160/F160</f>
        <v>100</v>
      </c>
      <c r="P160" s="246">
        <f t="shared" si="28"/>
        <v>0</v>
      </c>
      <c r="Q160" s="80"/>
      <c r="R160" s="245">
        <f>+F160*M160</f>
        <v>2200000</v>
      </c>
      <c r="S160" s="245">
        <v>0</v>
      </c>
      <c r="T160" s="245">
        <f>'[122]A - 805'!$D$123</f>
        <v>2200000</v>
      </c>
      <c r="U160" s="245">
        <f t="shared" si="25"/>
        <v>0</v>
      </c>
    </row>
    <row r="161" spans="1:21" s="164" customFormat="1" x14ac:dyDescent="0.25">
      <c r="A161" s="413">
        <v>117</v>
      </c>
      <c r="B161" s="157" t="s">
        <v>853</v>
      </c>
      <c r="C161" s="451" t="s">
        <v>854</v>
      </c>
      <c r="D161" s="451" t="s">
        <v>929</v>
      </c>
      <c r="E161" s="416" t="s">
        <v>30</v>
      </c>
      <c r="F161" s="416">
        <v>31000</v>
      </c>
      <c r="G161" s="416"/>
      <c r="H161" s="416">
        <v>31000</v>
      </c>
      <c r="I161" s="417" t="s">
        <v>855</v>
      </c>
      <c r="J161" s="418" t="s">
        <v>856</v>
      </c>
      <c r="K161" s="419"/>
      <c r="L161" s="419" t="s">
        <v>857</v>
      </c>
      <c r="M161" s="413">
        <v>36</v>
      </c>
      <c r="N161" s="420"/>
      <c r="O161" s="420">
        <f>T161/F161</f>
        <v>6</v>
      </c>
      <c r="P161" s="420">
        <f>M161-O161</f>
        <v>30</v>
      </c>
      <c r="R161" s="476">
        <f>M161*F161</f>
        <v>1116000</v>
      </c>
      <c r="S161" s="476"/>
      <c r="T161" s="476">
        <f>'[123]A - 805'!$D$45</f>
        <v>186000</v>
      </c>
      <c r="U161" s="476">
        <f>R161-T161</f>
        <v>930000</v>
      </c>
    </row>
    <row r="162" spans="1:21" s="78" customFormat="1" x14ac:dyDescent="0.25">
      <c r="A162" s="270">
        <v>118</v>
      </c>
      <c r="B162" s="288" t="s">
        <v>401</v>
      </c>
      <c r="C162" s="289" t="s">
        <v>677</v>
      </c>
      <c r="D162" s="272" t="s">
        <v>929</v>
      </c>
      <c r="E162" s="273" t="s">
        <v>18</v>
      </c>
      <c r="F162" s="274">
        <v>22000</v>
      </c>
      <c r="G162" s="274">
        <f t="shared" si="31"/>
        <v>2200</v>
      </c>
      <c r="H162" s="274">
        <f t="shared" si="32"/>
        <v>19800</v>
      </c>
      <c r="I162" s="290">
        <v>42109</v>
      </c>
      <c r="J162" s="324">
        <v>42134</v>
      </c>
      <c r="K162" s="343">
        <f t="shared" si="26"/>
        <v>45148</v>
      </c>
      <c r="L162" s="358">
        <f>EDATE(K162,20)</f>
        <v>45757</v>
      </c>
      <c r="M162" s="270">
        <v>100</v>
      </c>
      <c r="N162" s="276">
        <f>+S162/F162</f>
        <v>0</v>
      </c>
      <c r="O162" s="276">
        <v>100</v>
      </c>
      <c r="P162" s="276">
        <f t="shared" ref="P162" si="33">+M162-N162-O162</f>
        <v>0</v>
      </c>
      <c r="Q162" s="144"/>
      <c r="R162" s="297">
        <f>+F162*M162</f>
        <v>2200000</v>
      </c>
      <c r="S162" s="298">
        <v>0</v>
      </c>
      <c r="T162" s="277">
        <v>2200000</v>
      </c>
      <c r="U162" s="277">
        <f>R162-T162</f>
        <v>0</v>
      </c>
    </row>
    <row r="163" spans="1:21" ht="31.5" x14ac:dyDescent="0.25">
      <c r="A163" s="239">
        <v>119</v>
      </c>
      <c r="B163" s="159" t="s">
        <v>406</v>
      </c>
      <c r="C163" s="240" t="s">
        <v>678</v>
      </c>
      <c r="D163" s="240" t="s">
        <v>929</v>
      </c>
      <c r="E163" s="241" t="s">
        <v>30</v>
      </c>
      <c r="F163" s="241">
        <v>22000</v>
      </c>
      <c r="G163" s="241">
        <f t="shared" si="31"/>
        <v>2200</v>
      </c>
      <c r="H163" s="241">
        <f t="shared" si="32"/>
        <v>19800</v>
      </c>
      <c r="I163" s="242">
        <v>42356</v>
      </c>
      <c r="J163" s="330">
        <v>42394</v>
      </c>
      <c r="K163" s="349">
        <f t="shared" si="26"/>
        <v>45407</v>
      </c>
      <c r="L163" s="349">
        <f>EDATE(K163,20)</f>
        <v>46016</v>
      </c>
      <c r="M163" s="239">
        <v>100</v>
      </c>
      <c r="N163" s="246">
        <f>+S163/F163</f>
        <v>0</v>
      </c>
      <c r="O163" s="246">
        <f>+T163/F163</f>
        <v>95</v>
      </c>
      <c r="P163" s="246">
        <f t="shared" si="28"/>
        <v>5</v>
      </c>
      <c r="Q163" s="80"/>
      <c r="R163" s="245">
        <f>+F163*M163</f>
        <v>2200000</v>
      </c>
      <c r="S163" s="245">
        <v>0</v>
      </c>
      <c r="T163" s="245">
        <f>'[124]A - 807'!$D$123</f>
        <v>2090000</v>
      </c>
      <c r="U163" s="245">
        <f t="shared" si="25"/>
        <v>110000</v>
      </c>
    </row>
    <row r="164" spans="1:21" x14ac:dyDescent="0.25">
      <c r="A164" s="248">
        <v>120</v>
      </c>
      <c r="B164" s="255" t="s">
        <v>976</v>
      </c>
      <c r="C164" s="381" t="s">
        <v>977</v>
      </c>
      <c r="D164" s="381" t="s">
        <v>929</v>
      </c>
      <c r="E164" s="382"/>
      <c r="F164" s="382"/>
      <c r="G164" s="382"/>
      <c r="H164" s="382"/>
      <c r="I164" s="406"/>
      <c r="J164" s="388"/>
      <c r="K164" s="385"/>
      <c r="L164" s="385"/>
      <c r="M164" s="248"/>
      <c r="N164" s="254"/>
      <c r="O164" s="254"/>
      <c r="P164" s="254"/>
      <c r="R164" s="251"/>
      <c r="S164" s="251"/>
      <c r="T164" s="251"/>
      <c r="U164" s="251"/>
    </row>
    <row r="165" spans="1:21" x14ac:dyDescent="0.25">
      <c r="A165" s="301">
        <v>121</v>
      </c>
      <c r="B165" s="302" t="s">
        <v>417</v>
      </c>
      <c r="C165" s="310" t="s">
        <v>679</v>
      </c>
      <c r="D165" s="310" t="s">
        <v>929</v>
      </c>
      <c r="E165" s="304" t="s">
        <v>30</v>
      </c>
      <c r="F165" s="304">
        <v>30000</v>
      </c>
      <c r="G165" s="304">
        <f t="shared" si="31"/>
        <v>3000</v>
      </c>
      <c r="H165" s="304">
        <f t="shared" si="32"/>
        <v>27000</v>
      </c>
      <c r="I165" s="307">
        <v>42916</v>
      </c>
      <c r="J165" s="321">
        <v>42972</v>
      </c>
      <c r="K165" s="342">
        <f t="shared" si="26"/>
        <v>45986</v>
      </c>
      <c r="L165" s="342">
        <f>EDATE(K165,20)</f>
        <v>46593</v>
      </c>
      <c r="M165" s="301">
        <v>100</v>
      </c>
      <c r="N165" s="305">
        <f>+S165/F165</f>
        <v>0</v>
      </c>
      <c r="O165" s="305">
        <f>+T165/F165</f>
        <v>84</v>
      </c>
      <c r="P165" s="305">
        <f t="shared" si="28"/>
        <v>16</v>
      </c>
      <c r="R165" s="308">
        <f>+F165*M165</f>
        <v>3000000</v>
      </c>
      <c r="S165" s="308">
        <v>0</v>
      </c>
      <c r="T165" s="308">
        <f>'[125]A - 809'!$D$121</f>
        <v>2520000</v>
      </c>
      <c r="U165" s="308">
        <f t="shared" si="25"/>
        <v>480000</v>
      </c>
    </row>
    <row r="166" spans="1:21" x14ac:dyDescent="0.25">
      <c r="A166" s="311">
        <v>122</v>
      </c>
      <c r="B166" s="156" t="s">
        <v>420</v>
      </c>
      <c r="C166" s="312" t="s">
        <v>680</v>
      </c>
      <c r="D166" s="312" t="s">
        <v>929</v>
      </c>
      <c r="E166" s="313" t="s">
        <v>30</v>
      </c>
      <c r="F166" s="313">
        <v>22000</v>
      </c>
      <c r="G166" s="313">
        <f t="shared" si="31"/>
        <v>2200</v>
      </c>
      <c r="H166" s="313">
        <f t="shared" si="32"/>
        <v>19800</v>
      </c>
      <c r="I166" s="314">
        <v>42431</v>
      </c>
      <c r="J166" s="337">
        <v>42454</v>
      </c>
      <c r="K166" s="352">
        <f t="shared" si="26"/>
        <v>45468</v>
      </c>
      <c r="L166" s="352">
        <f>EDATE(K166,20)</f>
        <v>46078</v>
      </c>
      <c r="M166" s="311">
        <v>100</v>
      </c>
      <c r="N166" s="315"/>
      <c r="O166" s="315">
        <v>99</v>
      </c>
      <c r="P166" s="315">
        <v>1</v>
      </c>
      <c r="R166" s="316">
        <f>'[126]A - 810'!$D$124</f>
        <v>2180816</v>
      </c>
      <c r="S166" s="316">
        <f>SUM('[127]A - 810'!$D$9:$D$13)</f>
        <v>75680</v>
      </c>
      <c r="T166" s="316">
        <f>'[128]A - 810'!$D$123</f>
        <v>2180816</v>
      </c>
      <c r="U166" s="316"/>
    </row>
    <row r="167" spans="1:21" x14ac:dyDescent="0.25">
      <c r="A167" s="270"/>
      <c r="B167" s="288" t="s">
        <v>401</v>
      </c>
      <c r="C167" s="289" t="s">
        <v>677</v>
      </c>
      <c r="D167" s="272"/>
      <c r="E167" s="273" t="s">
        <v>18</v>
      </c>
      <c r="F167" s="274">
        <v>10000</v>
      </c>
      <c r="G167" s="274"/>
      <c r="H167" s="274">
        <f t="shared" si="32"/>
        <v>10000</v>
      </c>
      <c r="I167" s="270">
        <v>100</v>
      </c>
      <c r="J167" s="338">
        <v>0</v>
      </c>
      <c r="K167" s="338">
        <v>100</v>
      </c>
      <c r="L167" s="366">
        <v>2200000</v>
      </c>
      <c r="M167" s="277">
        <v>24</v>
      </c>
      <c r="N167" s="276"/>
      <c r="O167" s="276"/>
      <c r="P167" s="276"/>
      <c r="R167" s="297"/>
      <c r="S167" s="298"/>
      <c r="T167" s="298"/>
      <c r="U167" s="297"/>
    </row>
    <row r="168" spans="1:21" x14ac:dyDescent="0.25">
      <c r="A168" s="301">
        <v>123</v>
      </c>
      <c r="B168" s="302" t="s">
        <v>425</v>
      </c>
      <c r="C168" s="303" t="s">
        <v>681</v>
      </c>
      <c r="D168" s="303" t="s">
        <v>929</v>
      </c>
      <c r="E168" s="304" t="s">
        <v>30</v>
      </c>
      <c r="F168" s="304">
        <v>28000</v>
      </c>
      <c r="G168" s="304">
        <f t="shared" si="31"/>
        <v>2800</v>
      </c>
      <c r="H168" s="304">
        <f t="shared" si="32"/>
        <v>25200</v>
      </c>
      <c r="I168" s="307">
        <v>43013</v>
      </c>
      <c r="J168" s="321">
        <v>43033</v>
      </c>
      <c r="K168" s="342">
        <f t="shared" si="26"/>
        <v>46047</v>
      </c>
      <c r="L168" s="342">
        <f>EDATE(K168,20)</f>
        <v>46655</v>
      </c>
      <c r="M168" s="301">
        <v>100</v>
      </c>
      <c r="N168" s="305">
        <f>+S168/F168</f>
        <v>0</v>
      </c>
      <c r="O168" s="305">
        <f>T168/F168</f>
        <v>81.5</v>
      </c>
      <c r="P168" s="305">
        <f t="shared" si="28"/>
        <v>18.5</v>
      </c>
      <c r="R168" s="308">
        <f>+F168*M168</f>
        <v>2800000</v>
      </c>
      <c r="S168" s="308"/>
      <c r="T168" s="308">
        <f>'[129]A - 811'!$D$121</f>
        <v>2282000</v>
      </c>
      <c r="U168" s="308">
        <f t="shared" si="25"/>
        <v>518000</v>
      </c>
    </row>
    <row r="169" spans="1:21" s="78" customFormat="1" ht="31.5" x14ac:dyDescent="0.25">
      <c r="A169" s="279">
        <v>124</v>
      </c>
      <c r="B169" s="269" t="s">
        <v>429</v>
      </c>
      <c r="C169" s="292" t="s">
        <v>682</v>
      </c>
      <c r="D169" s="292" t="s">
        <v>929</v>
      </c>
      <c r="E169" s="280" t="s">
        <v>18</v>
      </c>
      <c r="F169" s="280">
        <v>28000</v>
      </c>
      <c r="G169" s="280">
        <f t="shared" si="31"/>
        <v>2800</v>
      </c>
      <c r="H169" s="280">
        <f t="shared" si="32"/>
        <v>25200</v>
      </c>
      <c r="I169" s="281">
        <v>43476</v>
      </c>
      <c r="J169" s="323">
        <v>43475</v>
      </c>
      <c r="K169" s="344">
        <f t="shared" si="26"/>
        <v>46487</v>
      </c>
      <c r="L169" s="344">
        <f>EDATE(K169,20)</f>
        <v>47097</v>
      </c>
      <c r="M169" s="279">
        <v>100</v>
      </c>
      <c r="N169" s="282">
        <f>+S169</f>
        <v>0</v>
      </c>
      <c r="O169" s="282">
        <f>+T169/F169</f>
        <v>67</v>
      </c>
      <c r="P169" s="282">
        <f t="shared" ref="P169:P217" si="34">+M169-N169-O169</f>
        <v>33</v>
      </c>
      <c r="Q169" s="2"/>
      <c r="R169" s="283">
        <f>+F169*M169</f>
        <v>2800000</v>
      </c>
      <c r="S169" s="283">
        <v>0</v>
      </c>
      <c r="T169" s="283">
        <f>'[130]A -812'!$D$121</f>
        <v>1876000</v>
      </c>
      <c r="U169" s="283">
        <f t="shared" ref="U169:U217" si="35">+R169-S169-T169</f>
        <v>924000</v>
      </c>
    </row>
    <row r="170" spans="1:21" x14ac:dyDescent="0.25">
      <c r="A170" s="239">
        <v>125</v>
      </c>
      <c r="B170" s="159" t="s">
        <v>434</v>
      </c>
      <c r="C170" s="240" t="s">
        <v>683</v>
      </c>
      <c r="D170" s="240" t="s">
        <v>929</v>
      </c>
      <c r="E170" s="241" t="s">
        <v>30</v>
      </c>
      <c r="F170" s="241">
        <v>16000</v>
      </c>
      <c r="G170" s="241">
        <f t="shared" si="31"/>
        <v>1600</v>
      </c>
      <c r="H170" s="241">
        <f t="shared" si="32"/>
        <v>14400</v>
      </c>
      <c r="I170" s="242">
        <v>41912</v>
      </c>
      <c r="J170" s="330">
        <v>41937</v>
      </c>
      <c r="K170" s="349">
        <f t="shared" si="26"/>
        <v>44951</v>
      </c>
      <c r="L170" s="349">
        <f>EDATE(K170,20)</f>
        <v>45560</v>
      </c>
      <c r="M170" s="239">
        <v>100</v>
      </c>
      <c r="N170" s="246">
        <v>45</v>
      </c>
      <c r="O170" s="246">
        <v>55</v>
      </c>
      <c r="P170" s="246">
        <f t="shared" si="34"/>
        <v>0</v>
      </c>
      <c r="Q170" s="80"/>
      <c r="R170" s="245">
        <v>1690000</v>
      </c>
      <c r="S170" s="245">
        <f>SUM('[131]A -813'!$D$9:$D$53)</f>
        <v>810000</v>
      </c>
      <c r="T170" s="245">
        <f>SUM('[132]A -813'!$D$55:$D$119)</f>
        <v>816000</v>
      </c>
      <c r="U170" s="245" t="s">
        <v>790</v>
      </c>
    </row>
    <row r="171" spans="1:21" s="78" customFormat="1" x14ac:dyDescent="0.25">
      <c r="A171" s="208">
        <v>126</v>
      </c>
      <c r="B171" s="226" t="s">
        <v>437</v>
      </c>
      <c r="C171" s="99" t="s">
        <v>684</v>
      </c>
      <c r="D171" s="373" t="s">
        <v>929</v>
      </c>
      <c r="E171" s="210" t="s">
        <v>18</v>
      </c>
      <c r="F171" s="211">
        <v>16000</v>
      </c>
      <c r="G171" s="211">
        <f t="shared" si="31"/>
        <v>1600</v>
      </c>
      <c r="H171" s="211">
        <f t="shared" si="32"/>
        <v>14400</v>
      </c>
      <c r="I171" s="212">
        <v>41900</v>
      </c>
      <c r="J171" s="326">
        <v>41922</v>
      </c>
      <c r="K171" s="345">
        <f t="shared" si="26"/>
        <v>44936</v>
      </c>
      <c r="L171" s="359">
        <f>EDATE(K171,20)</f>
        <v>45545</v>
      </c>
      <c r="M171" s="213">
        <v>100</v>
      </c>
      <c r="N171" s="237">
        <v>58</v>
      </c>
      <c r="O171" s="214">
        <v>42</v>
      </c>
      <c r="P171" s="214">
        <f t="shared" si="34"/>
        <v>0</v>
      </c>
      <c r="Q171" s="80"/>
      <c r="R171" s="215">
        <v>1716000</v>
      </c>
      <c r="S171" s="216">
        <f>SUM('[133]A - 814'!$D$9:$D$66)</f>
        <v>1044000</v>
      </c>
      <c r="T171" s="216">
        <v>672000</v>
      </c>
      <c r="U171" s="215">
        <f t="shared" si="35"/>
        <v>0</v>
      </c>
    </row>
    <row r="172" spans="1:21" ht="31.5" x14ac:dyDescent="0.25">
      <c r="A172" s="248">
        <v>127</v>
      </c>
      <c r="B172" s="255" t="s">
        <v>441</v>
      </c>
      <c r="C172" s="381" t="s">
        <v>685</v>
      </c>
      <c r="D172" s="381" t="s">
        <v>929</v>
      </c>
      <c r="E172" s="382" t="s">
        <v>30</v>
      </c>
      <c r="F172" s="382">
        <v>25714</v>
      </c>
      <c r="G172" s="382">
        <f t="shared" si="31"/>
        <v>2571.4</v>
      </c>
      <c r="H172" s="382">
        <f t="shared" si="32"/>
        <v>23142.6</v>
      </c>
      <c r="I172" s="406">
        <v>44274</v>
      </c>
      <c r="J172" s="388">
        <v>44311</v>
      </c>
      <c r="K172" s="385">
        <f t="shared" si="26"/>
        <v>47324</v>
      </c>
      <c r="L172" s="385">
        <f>EDATE(K172,0)</f>
        <v>47324</v>
      </c>
      <c r="M172" s="248">
        <v>100</v>
      </c>
      <c r="N172" s="254">
        <f>+S172/F172</f>
        <v>0</v>
      </c>
      <c r="O172" s="254">
        <f>+T172/F172</f>
        <v>59</v>
      </c>
      <c r="P172" s="254">
        <f t="shared" si="34"/>
        <v>41</v>
      </c>
      <c r="R172" s="251">
        <f>+F172*M172</f>
        <v>2571400</v>
      </c>
      <c r="S172" s="251">
        <v>0</v>
      </c>
      <c r="T172" s="251">
        <f>'[134]A - 901'!$D$109</f>
        <v>1517126</v>
      </c>
      <c r="U172" s="251">
        <f t="shared" si="35"/>
        <v>1054274</v>
      </c>
    </row>
    <row r="173" spans="1:21" x14ac:dyDescent="0.25">
      <c r="A173" s="496">
        <v>128</v>
      </c>
      <c r="B173" s="497" t="s">
        <v>445</v>
      </c>
      <c r="C173" s="445" t="s">
        <v>978</v>
      </c>
      <c r="D173" s="3" t="s">
        <v>929</v>
      </c>
      <c r="E173" s="498" t="s">
        <v>30</v>
      </c>
      <c r="F173" s="498">
        <v>31000</v>
      </c>
      <c r="G173" s="498"/>
      <c r="H173" s="498"/>
      <c r="I173" s="499" t="s">
        <v>970</v>
      </c>
      <c r="J173" s="500" t="s">
        <v>943</v>
      </c>
      <c r="K173" s="501"/>
      <c r="L173" s="501" t="s">
        <v>944</v>
      </c>
      <c r="M173" s="502">
        <v>36</v>
      </c>
      <c r="N173" s="503"/>
      <c r="O173" s="503"/>
      <c r="P173" s="503"/>
      <c r="R173" s="504">
        <v>1116000</v>
      </c>
      <c r="S173" s="504"/>
      <c r="T173" s="504"/>
      <c r="U173" s="504"/>
    </row>
    <row r="174" spans="1:21" s="78" customFormat="1" x14ac:dyDescent="0.25">
      <c r="A174" s="63">
        <f>A173+1</f>
        <v>129</v>
      </c>
      <c r="B174" s="27" t="s">
        <v>451</v>
      </c>
      <c r="C174" s="33" t="s">
        <v>686</v>
      </c>
      <c r="D174" s="396" t="s">
        <v>929</v>
      </c>
      <c r="E174" s="30" t="s">
        <v>18</v>
      </c>
      <c r="F174" s="19">
        <v>28500</v>
      </c>
      <c r="G174" s="19">
        <f t="shared" si="31"/>
        <v>2850</v>
      </c>
      <c r="H174" s="19">
        <f t="shared" si="32"/>
        <v>25650</v>
      </c>
      <c r="I174" s="103">
        <v>43717</v>
      </c>
      <c r="J174" s="339">
        <v>43718</v>
      </c>
      <c r="K174" s="353">
        <f t="shared" si="26"/>
        <v>46731</v>
      </c>
      <c r="L174" s="367">
        <f t="shared" ref="L174:L179" si="36">EDATE(K174,20)</f>
        <v>47340</v>
      </c>
      <c r="M174" s="28">
        <v>100</v>
      </c>
      <c r="N174" s="391">
        <f>+S174</f>
        <v>0</v>
      </c>
      <c r="O174" s="391">
        <f>+T174/F174</f>
        <v>59</v>
      </c>
      <c r="P174" s="391">
        <f t="shared" si="34"/>
        <v>41</v>
      </c>
      <c r="Q174" s="2"/>
      <c r="R174" s="102">
        <f>+F174*M174</f>
        <v>2850000</v>
      </c>
      <c r="S174" s="392">
        <v>0</v>
      </c>
      <c r="T174" s="392">
        <f>'[135]A - 903'!$D$123</f>
        <v>1681500</v>
      </c>
      <c r="U174" s="102">
        <f t="shared" si="35"/>
        <v>1168500</v>
      </c>
    </row>
    <row r="175" spans="1:21" s="78" customFormat="1" x14ac:dyDescent="0.25">
      <c r="A175" s="394">
        <v>130</v>
      </c>
      <c r="B175" s="408" t="s">
        <v>456</v>
      </c>
      <c r="C175" s="33" t="s">
        <v>686</v>
      </c>
      <c r="D175" s="396" t="s">
        <v>929</v>
      </c>
      <c r="E175" s="397" t="s">
        <v>18</v>
      </c>
      <c r="F175" s="398">
        <v>28500</v>
      </c>
      <c r="G175" s="398">
        <f t="shared" si="31"/>
        <v>2850</v>
      </c>
      <c r="H175" s="398">
        <f t="shared" si="32"/>
        <v>25650</v>
      </c>
      <c r="I175" s="409">
        <v>43717</v>
      </c>
      <c r="J175" s="410">
        <v>43718</v>
      </c>
      <c r="K175" s="401">
        <f t="shared" si="26"/>
        <v>46731</v>
      </c>
      <c r="L175" s="402">
        <f t="shared" si="36"/>
        <v>47340</v>
      </c>
      <c r="M175" s="411">
        <v>100</v>
      </c>
      <c r="N175" s="403">
        <f>+S175</f>
        <v>0</v>
      </c>
      <c r="O175" s="403">
        <f>+T175/F175</f>
        <v>59</v>
      </c>
      <c r="P175" s="403">
        <f t="shared" si="34"/>
        <v>41</v>
      </c>
      <c r="Q175" s="2"/>
      <c r="R175" s="404">
        <f>+F175*M175</f>
        <v>2850000</v>
      </c>
      <c r="S175" s="405">
        <v>0</v>
      </c>
      <c r="T175" s="405">
        <f>'[136]A - 904'!$D$121</f>
        <v>1681500</v>
      </c>
      <c r="U175" s="404">
        <f t="shared" si="35"/>
        <v>1168500</v>
      </c>
    </row>
    <row r="176" spans="1:21" s="54" customFormat="1" ht="31.5" x14ac:dyDescent="0.25">
      <c r="A176" s="394">
        <v>131</v>
      </c>
      <c r="B176" s="249" t="s">
        <v>457</v>
      </c>
      <c r="C176" s="250" t="s">
        <v>706</v>
      </c>
      <c r="D176" s="250" t="s">
        <v>929</v>
      </c>
      <c r="E176" s="251" t="s">
        <v>30</v>
      </c>
      <c r="F176" s="382">
        <v>22000</v>
      </c>
      <c r="G176" s="382">
        <f t="shared" si="31"/>
        <v>2200</v>
      </c>
      <c r="H176" s="382">
        <f t="shared" si="32"/>
        <v>19800</v>
      </c>
      <c r="I176" s="489">
        <v>42527</v>
      </c>
      <c r="J176" s="385">
        <v>42088</v>
      </c>
      <c r="K176" s="385">
        <f t="shared" si="26"/>
        <v>45102</v>
      </c>
      <c r="L176" s="385">
        <f t="shared" si="36"/>
        <v>45713</v>
      </c>
      <c r="M176" s="248">
        <v>100</v>
      </c>
      <c r="N176" s="254">
        <v>6</v>
      </c>
      <c r="O176" s="254">
        <f>T176/F176</f>
        <v>94</v>
      </c>
      <c r="P176" s="254">
        <f>M176-N176-O176</f>
        <v>0</v>
      </c>
      <c r="R176" s="251">
        <v>2194000</v>
      </c>
      <c r="S176" s="251">
        <v>126000</v>
      </c>
      <c r="T176" s="251">
        <f>SUM('[137]A - 905'!$D$15:$D$122)</f>
        <v>2068000</v>
      </c>
      <c r="U176" s="251">
        <f>R176-S176-T176</f>
        <v>0</v>
      </c>
    </row>
    <row r="177" spans="1:22" s="78" customFormat="1" x14ac:dyDescent="0.25">
      <c r="A177" s="394">
        <v>132</v>
      </c>
      <c r="B177" s="408" t="s">
        <v>462</v>
      </c>
      <c r="C177" s="33" t="s">
        <v>687</v>
      </c>
      <c r="D177" s="396" t="s">
        <v>929</v>
      </c>
      <c r="E177" s="397" t="s">
        <v>18</v>
      </c>
      <c r="F177" s="398">
        <v>20972</v>
      </c>
      <c r="G177" s="398">
        <f t="shared" si="31"/>
        <v>2097.2000000000003</v>
      </c>
      <c r="H177" s="398">
        <f t="shared" si="32"/>
        <v>18874.8</v>
      </c>
      <c r="I177" s="409">
        <v>42264</v>
      </c>
      <c r="J177" s="410">
        <v>41953</v>
      </c>
      <c r="K177" s="401">
        <f>DATE(YEAR(J177),MONTH(J177)+88,DAY(J177))</f>
        <v>44630</v>
      </c>
      <c r="L177" s="402">
        <f t="shared" si="36"/>
        <v>45240</v>
      </c>
      <c r="M177" s="411">
        <v>100</v>
      </c>
      <c r="N177" s="490">
        <v>30</v>
      </c>
      <c r="O177" s="403">
        <v>70</v>
      </c>
      <c r="P177" s="403"/>
      <c r="Q177" s="2"/>
      <c r="R177" s="404">
        <v>1767200</v>
      </c>
      <c r="S177" s="405">
        <f>SUM('[138]A - 906 SATYAJEET SHARMA '!$D$9:$D$38)</f>
        <v>299160</v>
      </c>
      <c r="T177" s="405">
        <v>1457918</v>
      </c>
      <c r="U177" s="404">
        <f t="shared" si="35"/>
        <v>10122</v>
      </c>
    </row>
    <row r="178" spans="1:22" s="78" customFormat="1" x14ac:dyDescent="0.25">
      <c r="A178" s="248"/>
      <c r="B178" s="255" t="s">
        <v>462</v>
      </c>
      <c r="C178" s="381" t="s">
        <v>687</v>
      </c>
      <c r="D178" s="381"/>
      <c r="E178" s="382" t="s">
        <v>888</v>
      </c>
      <c r="F178" s="382">
        <v>20972</v>
      </c>
      <c r="G178" s="382"/>
      <c r="H178" s="382"/>
      <c r="I178" s="406"/>
      <c r="J178" s="388"/>
      <c r="K178" s="385"/>
      <c r="L178" s="385"/>
      <c r="M178" s="248">
        <v>60</v>
      </c>
      <c r="N178" s="254"/>
      <c r="O178" s="254">
        <f>T178/F178</f>
        <v>6.9992370780087736</v>
      </c>
      <c r="P178" s="254">
        <f>M178-O178</f>
        <v>53.000762921991225</v>
      </c>
      <c r="Q178" s="2"/>
      <c r="R178" s="387">
        <f>F178*M178</f>
        <v>1258320</v>
      </c>
      <c r="S178" s="251"/>
      <c r="T178" s="251">
        <f>'[139]RENEW 5Y'!$D$69</f>
        <v>146788</v>
      </c>
      <c r="U178" s="251"/>
      <c r="V178" s="2" t="s">
        <v>962</v>
      </c>
    </row>
    <row r="179" spans="1:22" s="78" customFormat="1" ht="31.5" x14ac:dyDescent="0.25">
      <c r="A179" s="394">
        <v>133</v>
      </c>
      <c r="B179" s="159" t="s">
        <v>467</v>
      </c>
      <c r="C179" s="240" t="s">
        <v>688</v>
      </c>
      <c r="D179" s="240" t="s">
        <v>929</v>
      </c>
      <c r="E179" s="241" t="s">
        <v>30</v>
      </c>
      <c r="F179" s="241">
        <v>16000</v>
      </c>
      <c r="G179" s="241">
        <f t="shared" si="31"/>
        <v>1600</v>
      </c>
      <c r="H179" s="241">
        <f t="shared" si="32"/>
        <v>14400</v>
      </c>
      <c r="I179" s="242">
        <v>41819</v>
      </c>
      <c r="J179" s="330">
        <v>41876</v>
      </c>
      <c r="K179" s="349">
        <f t="shared" ref="K179:K217" si="37">DATE(YEAR(J179),MONTH(J179)+99,DAY(J179))</f>
        <v>44890</v>
      </c>
      <c r="L179" s="349">
        <f t="shared" si="36"/>
        <v>45498</v>
      </c>
      <c r="M179" s="239">
        <v>100</v>
      </c>
      <c r="N179" s="246">
        <v>61</v>
      </c>
      <c r="O179" s="246">
        <v>39</v>
      </c>
      <c r="P179" s="246">
        <f t="shared" si="34"/>
        <v>0</v>
      </c>
      <c r="Q179" s="80"/>
      <c r="R179" s="245">
        <v>1722000</v>
      </c>
      <c r="S179" s="245">
        <f>SUM('[140]A- 907'!$D$9:$D$69)</f>
        <v>1098000</v>
      </c>
      <c r="T179" s="245">
        <v>624000</v>
      </c>
      <c r="U179" s="245">
        <f t="shared" si="35"/>
        <v>0</v>
      </c>
    </row>
    <row r="180" spans="1:22" s="162" customFormat="1" x14ac:dyDescent="0.25">
      <c r="A180" s="460"/>
      <c r="B180" s="491" t="s">
        <v>467</v>
      </c>
      <c r="C180" s="463" t="s">
        <v>901</v>
      </c>
      <c r="D180" s="463" t="s">
        <v>929</v>
      </c>
      <c r="E180" s="464" t="s">
        <v>18</v>
      </c>
      <c r="F180" s="465">
        <v>31000</v>
      </c>
      <c r="G180" s="465"/>
      <c r="H180" s="465">
        <f t="shared" si="32"/>
        <v>31000</v>
      </c>
      <c r="I180" s="492" t="s">
        <v>902</v>
      </c>
      <c r="J180" s="493">
        <v>45937</v>
      </c>
      <c r="K180" s="468"/>
      <c r="L180" s="469">
        <v>47032</v>
      </c>
      <c r="M180" s="460">
        <v>36</v>
      </c>
      <c r="N180" s="472"/>
      <c r="O180" s="472">
        <f>T180/F180</f>
        <v>9</v>
      </c>
      <c r="P180" s="472"/>
      <c r="Q180" s="164"/>
      <c r="R180" s="494">
        <f>F180*M180</f>
        <v>1116000</v>
      </c>
      <c r="S180" s="495"/>
      <c r="T180" s="495">
        <f>'[141]A - 907'!$D$45</f>
        <v>279000</v>
      </c>
      <c r="U180" s="494">
        <f>R180-T180</f>
        <v>837000</v>
      </c>
      <c r="V180" s="164"/>
    </row>
    <row r="181" spans="1:22" s="80" customFormat="1" x14ac:dyDescent="0.25">
      <c r="A181" s="155">
        <v>134</v>
      </c>
      <c r="B181" s="85" t="s">
        <v>472</v>
      </c>
      <c r="C181" s="99" t="s">
        <v>689</v>
      </c>
      <c r="D181" s="373" t="s">
        <v>929</v>
      </c>
      <c r="E181" s="87" t="s">
        <v>18</v>
      </c>
      <c r="F181" s="88">
        <v>16000</v>
      </c>
      <c r="G181" s="88">
        <f t="shared" si="31"/>
        <v>1600</v>
      </c>
      <c r="H181" s="88">
        <f t="shared" si="32"/>
        <v>14400</v>
      </c>
      <c r="I181" s="89">
        <v>41711</v>
      </c>
      <c r="J181" s="328">
        <v>41769</v>
      </c>
      <c r="K181" s="347">
        <f t="shared" si="37"/>
        <v>44783</v>
      </c>
      <c r="L181" s="361">
        <f>EDATE(K181,20)</f>
        <v>45392</v>
      </c>
      <c r="M181" s="90">
        <v>100</v>
      </c>
      <c r="N181" s="91">
        <f>+S181</f>
        <v>0</v>
      </c>
      <c r="O181" s="91">
        <v>100</v>
      </c>
      <c r="P181" s="91">
        <f t="shared" si="34"/>
        <v>0</v>
      </c>
      <c r="R181" s="92">
        <f>+F181*M181</f>
        <v>1600000</v>
      </c>
      <c r="S181" s="93">
        <v>0</v>
      </c>
      <c r="T181" s="93">
        <v>1600000</v>
      </c>
      <c r="U181" s="92">
        <f t="shared" si="35"/>
        <v>0</v>
      </c>
    </row>
    <row r="182" spans="1:22" s="78" customFormat="1" x14ac:dyDescent="0.25">
      <c r="A182" s="146">
        <v>135</v>
      </c>
      <c r="B182" s="81" t="s">
        <v>477</v>
      </c>
      <c r="C182" s="154" t="s">
        <v>690</v>
      </c>
      <c r="D182" s="374" t="s">
        <v>929</v>
      </c>
      <c r="E182" s="148" t="s">
        <v>18</v>
      </c>
      <c r="F182" s="149">
        <v>22000</v>
      </c>
      <c r="G182" s="149">
        <f t="shared" si="31"/>
        <v>2200</v>
      </c>
      <c r="H182" s="149">
        <f t="shared" si="32"/>
        <v>19800</v>
      </c>
      <c r="I182" s="166">
        <v>42342</v>
      </c>
      <c r="J182" s="329">
        <v>42394</v>
      </c>
      <c r="K182" s="348">
        <f t="shared" si="37"/>
        <v>45407</v>
      </c>
      <c r="L182" s="362">
        <f>EDATE(K182,20)</f>
        <v>46016</v>
      </c>
      <c r="M182" s="150">
        <v>100</v>
      </c>
      <c r="N182" s="151">
        <f>+S182</f>
        <v>0</v>
      </c>
      <c r="O182" s="151">
        <f>+T182/F182</f>
        <v>91</v>
      </c>
      <c r="P182" s="151">
        <f t="shared" si="34"/>
        <v>9</v>
      </c>
      <c r="Q182" s="2"/>
      <c r="R182" s="152">
        <f>+F182*M182</f>
        <v>2200000</v>
      </c>
      <c r="S182" s="153">
        <v>0</v>
      </c>
      <c r="T182" s="153">
        <f>'[142]A - 909 SAURABH JAIN'!$D$121</f>
        <v>2002000</v>
      </c>
      <c r="U182" s="152">
        <f t="shared" si="35"/>
        <v>198000</v>
      </c>
    </row>
    <row r="183" spans="1:22" s="162" customFormat="1" x14ac:dyDescent="0.25">
      <c r="A183" s="262"/>
      <c r="B183" s="284" t="s">
        <v>904</v>
      </c>
      <c r="C183" s="289" t="s">
        <v>905</v>
      </c>
      <c r="D183" s="272" t="s">
        <v>929</v>
      </c>
      <c r="E183" s="264" t="s">
        <v>18</v>
      </c>
      <c r="F183" s="265">
        <v>9500</v>
      </c>
      <c r="G183" s="265"/>
      <c r="H183" s="265">
        <v>9500</v>
      </c>
      <c r="I183" s="286"/>
      <c r="J183" s="325"/>
      <c r="K183" s="331"/>
      <c r="L183" s="357"/>
      <c r="M183" s="287">
        <v>11</v>
      </c>
      <c r="N183" s="266"/>
      <c r="O183" s="266">
        <f>T183/F183</f>
        <v>6</v>
      </c>
      <c r="P183" s="266">
        <f>M183-O183</f>
        <v>5</v>
      </c>
      <c r="R183" s="267">
        <f>F183*M183</f>
        <v>104500</v>
      </c>
      <c r="S183" s="268"/>
      <c r="T183" s="268">
        <f>'[143]A - 909'!$D$20</f>
        <v>57000</v>
      </c>
      <c r="U183" s="267">
        <f>R183-T183</f>
        <v>47500</v>
      </c>
    </row>
    <row r="184" spans="1:22" s="78" customFormat="1" x14ac:dyDescent="0.25">
      <c r="A184" s="262">
        <v>136</v>
      </c>
      <c r="B184" s="284" t="s">
        <v>480</v>
      </c>
      <c r="C184" s="289" t="s">
        <v>691</v>
      </c>
      <c r="D184" s="272" t="s">
        <v>929</v>
      </c>
      <c r="E184" s="264" t="s">
        <v>18</v>
      </c>
      <c r="F184" s="265">
        <v>23000</v>
      </c>
      <c r="G184" s="265">
        <f t="shared" si="31"/>
        <v>2300</v>
      </c>
      <c r="H184" s="265">
        <f t="shared" si="32"/>
        <v>20700</v>
      </c>
      <c r="I184" s="286">
        <v>42558</v>
      </c>
      <c r="J184" s="325">
        <v>42561</v>
      </c>
      <c r="K184" s="331">
        <f t="shared" si="37"/>
        <v>45575</v>
      </c>
      <c r="L184" s="357">
        <f>EDATE(K184,20)</f>
        <v>46183</v>
      </c>
      <c r="M184" s="287">
        <v>100</v>
      </c>
      <c r="N184" s="266">
        <f>+S184</f>
        <v>0</v>
      </c>
      <c r="O184" s="266">
        <f>+T184/F184</f>
        <v>96</v>
      </c>
      <c r="P184" s="266">
        <f t="shared" si="34"/>
        <v>4</v>
      </c>
      <c r="Q184" s="2"/>
      <c r="R184" s="267">
        <f>+F184*M184</f>
        <v>2300000</v>
      </c>
      <c r="S184" s="268">
        <v>0</v>
      </c>
      <c r="T184" s="268">
        <f>'[144]A - 910 RAVINA GUPTA'!$D$121</f>
        <v>2208000</v>
      </c>
      <c r="U184" s="267">
        <f t="shared" si="35"/>
        <v>92000</v>
      </c>
    </row>
    <row r="185" spans="1:22" s="78" customFormat="1" x14ac:dyDescent="0.25">
      <c r="A185" s="270">
        <v>137</v>
      </c>
      <c r="B185" s="288" t="s">
        <v>485</v>
      </c>
      <c r="C185" s="289" t="s">
        <v>692</v>
      </c>
      <c r="D185" s="272" t="s">
        <v>929</v>
      </c>
      <c r="E185" s="273" t="s">
        <v>18</v>
      </c>
      <c r="F185" s="274">
        <v>25000</v>
      </c>
      <c r="G185" s="274">
        <f t="shared" si="31"/>
        <v>2500</v>
      </c>
      <c r="H185" s="274">
        <f t="shared" si="32"/>
        <v>22500</v>
      </c>
      <c r="I185" s="290">
        <v>42576</v>
      </c>
      <c r="J185" s="324">
        <v>42592</v>
      </c>
      <c r="K185" s="343">
        <f t="shared" si="37"/>
        <v>45606</v>
      </c>
      <c r="L185" s="358">
        <f>EDATE(K185,20)</f>
        <v>46213</v>
      </c>
      <c r="M185" s="291">
        <v>100</v>
      </c>
      <c r="N185" s="276">
        <f>+S185</f>
        <v>0</v>
      </c>
      <c r="O185" s="276">
        <f>+T185/F185</f>
        <v>96</v>
      </c>
      <c r="P185" s="276">
        <f t="shared" si="34"/>
        <v>4</v>
      </c>
      <c r="Q185" s="2"/>
      <c r="R185" s="277">
        <f>+F185*M185</f>
        <v>2500000</v>
      </c>
      <c r="S185" s="278">
        <v>0</v>
      </c>
      <c r="T185" s="278">
        <f>'[145]A - 911 MEENU SETH'!$D$123</f>
        <v>2400000</v>
      </c>
      <c r="U185" s="277">
        <f t="shared" si="35"/>
        <v>100000</v>
      </c>
    </row>
    <row r="186" spans="1:22" x14ac:dyDescent="0.25">
      <c r="A186" s="301">
        <v>138</v>
      </c>
      <c r="B186" s="302" t="s">
        <v>489</v>
      </c>
      <c r="C186" s="303" t="s">
        <v>693</v>
      </c>
      <c r="D186" s="303" t="s">
        <v>929</v>
      </c>
      <c r="E186" s="304" t="s">
        <v>30</v>
      </c>
      <c r="F186" s="304">
        <v>30000</v>
      </c>
      <c r="G186" s="304">
        <f t="shared" si="31"/>
        <v>3000</v>
      </c>
      <c r="H186" s="304">
        <f t="shared" si="32"/>
        <v>27000</v>
      </c>
      <c r="I186" s="307">
        <v>42805</v>
      </c>
      <c r="J186" s="321">
        <v>42850</v>
      </c>
      <c r="K186" s="342">
        <f t="shared" si="37"/>
        <v>45863</v>
      </c>
      <c r="L186" s="342">
        <f>EDATE(K186,20)</f>
        <v>46471</v>
      </c>
      <c r="M186" s="301">
        <v>96</v>
      </c>
      <c r="N186" s="305">
        <f>+S186/F186</f>
        <v>0</v>
      </c>
      <c r="O186" s="305">
        <f>+T186/F186</f>
        <v>89</v>
      </c>
      <c r="P186" s="305">
        <f t="shared" si="34"/>
        <v>7</v>
      </c>
      <c r="R186" s="308">
        <f>+F186*M186</f>
        <v>2880000</v>
      </c>
      <c r="S186" s="308">
        <v>0</v>
      </c>
      <c r="T186" s="308">
        <f>'[146]A - 912'!$D$117</f>
        <v>2670000</v>
      </c>
      <c r="U186" s="308">
        <f t="shared" si="35"/>
        <v>210000</v>
      </c>
    </row>
    <row r="187" spans="1:22" s="78" customFormat="1" x14ac:dyDescent="0.25">
      <c r="A187" s="155">
        <v>139</v>
      </c>
      <c r="B187" s="96" t="s">
        <v>494</v>
      </c>
      <c r="C187" s="94" t="s">
        <v>694</v>
      </c>
      <c r="D187" s="371" t="s">
        <v>929</v>
      </c>
      <c r="E187" s="87" t="s">
        <v>18</v>
      </c>
      <c r="F187" s="88">
        <v>16000</v>
      </c>
      <c r="G187" s="88">
        <f t="shared" si="31"/>
        <v>1600</v>
      </c>
      <c r="H187" s="88">
        <f t="shared" si="32"/>
        <v>14400</v>
      </c>
      <c r="I187" s="89">
        <v>41827</v>
      </c>
      <c r="J187" s="328">
        <v>41861</v>
      </c>
      <c r="K187" s="347">
        <f t="shared" si="37"/>
        <v>44875</v>
      </c>
      <c r="L187" s="361">
        <f>EDATE(K187,20)</f>
        <v>45483</v>
      </c>
      <c r="M187" s="90">
        <v>100</v>
      </c>
      <c r="N187" s="95">
        <v>58</v>
      </c>
      <c r="O187" s="91">
        <v>42</v>
      </c>
      <c r="P187" s="91">
        <f t="shared" si="34"/>
        <v>0</v>
      </c>
      <c r="Q187" s="80"/>
      <c r="R187" s="92">
        <v>1716000</v>
      </c>
      <c r="S187" s="93">
        <f>SUM('[147]A - 913'!$D$9:$D$66)</f>
        <v>1044000</v>
      </c>
      <c r="T187" s="93">
        <v>672000</v>
      </c>
      <c r="U187" s="92">
        <f t="shared" si="35"/>
        <v>0</v>
      </c>
    </row>
    <row r="188" spans="1:22" x14ac:dyDescent="0.25">
      <c r="A188" s="262">
        <v>140</v>
      </c>
      <c r="B188" s="284" t="s">
        <v>833</v>
      </c>
      <c r="C188" s="285" t="s">
        <v>834</v>
      </c>
      <c r="D188" s="263" t="s">
        <v>929</v>
      </c>
      <c r="E188" s="264" t="s">
        <v>18</v>
      </c>
      <c r="F188" s="265">
        <v>32500</v>
      </c>
      <c r="G188" s="265">
        <v>3250</v>
      </c>
      <c r="H188" s="265">
        <v>32500</v>
      </c>
      <c r="I188" s="286">
        <v>45696</v>
      </c>
      <c r="J188" s="325">
        <v>45939</v>
      </c>
      <c r="K188" s="331"/>
      <c r="L188" s="357">
        <v>47034</v>
      </c>
      <c r="M188" s="287">
        <v>36</v>
      </c>
      <c r="N188" s="299"/>
      <c r="O188" s="266">
        <f>T188/F188</f>
        <v>9</v>
      </c>
      <c r="P188" s="266">
        <f>M188-O188</f>
        <v>27</v>
      </c>
      <c r="R188" s="267">
        <f>F188*M188</f>
        <v>1170000</v>
      </c>
      <c r="S188" s="268"/>
      <c r="T188" s="268">
        <f>'[148]A - 914'!$D$45</f>
        <v>292500</v>
      </c>
      <c r="U188" s="267">
        <f>R188-T188</f>
        <v>877500</v>
      </c>
    </row>
    <row r="189" spans="1:22" x14ac:dyDescent="0.25">
      <c r="A189" s="262">
        <v>141</v>
      </c>
      <c r="B189" s="284" t="s">
        <v>496</v>
      </c>
      <c r="C189" s="285" t="s">
        <v>695</v>
      </c>
      <c r="D189" s="263" t="s">
        <v>929</v>
      </c>
      <c r="E189" s="264" t="s">
        <v>18</v>
      </c>
      <c r="F189" s="265">
        <v>30000</v>
      </c>
      <c r="G189" s="265">
        <f t="shared" si="31"/>
        <v>3000</v>
      </c>
      <c r="H189" s="265">
        <f t="shared" si="32"/>
        <v>27000</v>
      </c>
      <c r="I189" s="286">
        <v>42916</v>
      </c>
      <c r="J189" s="325">
        <v>42926</v>
      </c>
      <c r="K189" s="331">
        <f t="shared" si="37"/>
        <v>45940</v>
      </c>
      <c r="L189" s="357">
        <f>EDATE(K189,20)</f>
        <v>46548</v>
      </c>
      <c r="M189" s="287">
        <v>100</v>
      </c>
      <c r="N189" s="266">
        <f t="shared" ref="N189:N217" si="38">+S189</f>
        <v>0</v>
      </c>
      <c r="O189" s="266">
        <f>+T189/F189</f>
        <v>85</v>
      </c>
      <c r="P189" s="266">
        <f t="shared" si="34"/>
        <v>15</v>
      </c>
      <c r="R189" s="267">
        <f>+F189*M189</f>
        <v>3000000</v>
      </c>
      <c r="S189" s="268">
        <v>0</v>
      </c>
      <c r="T189" s="268">
        <f>'[149]A - 1001'!$D$121</f>
        <v>2550000</v>
      </c>
      <c r="U189" s="267">
        <f t="shared" si="35"/>
        <v>450000</v>
      </c>
    </row>
    <row r="190" spans="1:22" x14ac:dyDescent="0.25">
      <c r="A190" s="262">
        <v>142</v>
      </c>
      <c r="B190" s="284" t="s">
        <v>838</v>
      </c>
      <c r="C190" s="285" t="s">
        <v>839</v>
      </c>
      <c r="D190" s="263" t="s">
        <v>929</v>
      </c>
      <c r="E190" s="264" t="s">
        <v>18</v>
      </c>
      <c r="F190" s="265">
        <v>31000</v>
      </c>
      <c r="G190" s="265">
        <v>0</v>
      </c>
      <c r="H190" s="265">
        <f t="shared" si="32"/>
        <v>31000</v>
      </c>
      <c r="I190" s="286"/>
      <c r="J190" s="325"/>
      <c r="K190" s="331"/>
      <c r="L190" s="357"/>
      <c r="M190" s="287">
        <v>36</v>
      </c>
      <c r="N190" s="266"/>
      <c r="O190" s="266">
        <f>T190/F190</f>
        <v>9</v>
      </c>
      <c r="P190" s="266">
        <f>M190-O190</f>
        <v>27</v>
      </c>
      <c r="R190" s="267">
        <f>F190*M190</f>
        <v>1116000</v>
      </c>
      <c r="S190" s="268"/>
      <c r="T190" s="268">
        <f>'[150]A - 1002'!$D$45</f>
        <v>279000</v>
      </c>
      <c r="U190" s="267">
        <f>R190-T190</f>
        <v>837000</v>
      </c>
    </row>
    <row r="191" spans="1:22" x14ac:dyDescent="0.25">
      <c r="A191" s="208">
        <v>143</v>
      </c>
      <c r="B191" s="226" t="s">
        <v>499</v>
      </c>
      <c r="C191" s="99" t="s">
        <v>696</v>
      </c>
      <c r="D191" s="373" t="s">
        <v>929</v>
      </c>
      <c r="E191" s="210" t="s">
        <v>18</v>
      </c>
      <c r="F191" s="211">
        <v>16000</v>
      </c>
      <c r="G191" s="211">
        <f t="shared" si="31"/>
        <v>1600</v>
      </c>
      <c r="H191" s="211">
        <f t="shared" si="32"/>
        <v>14400</v>
      </c>
      <c r="I191" s="212">
        <v>41586</v>
      </c>
      <c r="J191" s="326">
        <v>41618</v>
      </c>
      <c r="K191" s="345">
        <f t="shared" si="37"/>
        <v>44630</v>
      </c>
      <c r="L191" s="359">
        <f>EDATE(K191,20)</f>
        <v>45240</v>
      </c>
      <c r="M191" s="213">
        <v>100</v>
      </c>
      <c r="N191" s="214">
        <f t="shared" si="38"/>
        <v>0</v>
      </c>
      <c r="O191" s="214">
        <f>+T191/F191</f>
        <v>100</v>
      </c>
      <c r="P191" s="214">
        <f t="shared" si="34"/>
        <v>0</v>
      </c>
      <c r="Q191" s="80"/>
      <c r="R191" s="215">
        <f>+F191*M191</f>
        <v>1600000</v>
      </c>
      <c r="S191" s="216">
        <v>0</v>
      </c>
      <c r="T191" s="216">
        <f>+'[151]A -1003'!$D$122</f>
        <v>1600000</v>
      </c>
      <c r="U191" s="215">
        <f t="shared" si="35"/>
        <v>0</v>
      </c>
    </row>
    <row r="192" spans="1:22" s="162" customFormat="1" x14ac:dyDescent="0.25">
      <c r="A192" s="301"/>
      <c r="B192" s="302" t="s">
        <v>920</v>
      </c>
      <c r="C192" s="303" t="s">
        <v>921</v>
      </c>
      <c r="D192" s="303"/>
      <c r="E192" s="304" t="s">
        <v>30</v>
      </c>
      <c r="F192" s="304">
        <v>31000</v>
      </c>
      <c r="G192" s="304"/>
      <c r="H192" s="304">
        <v>31000</v>
      </c>
      <c r="I192" s="307">
        <v>46055</v>
      </c>
      <c r="J192" s="321" t="s">
        <v>918</v>
      </c>
      <c r="K192" s="342"/>
      <c r="L192" s="342" t="s">
        <v>922</v>
      </c>
      <c r="M192" s="301">
        <v>36</v>
      </c>
      <c r="N192" s="305"/>
      <c r="O192" s="305">
        <f>T192/F192</f>
        <v>4</v>
      </c>
      <c r="P192" s="305">
        <f>M192-O192</f>
        <v>32</v>
      </c>
      <c r="R192" s="306">
        <f>M192*F192</f>
        <v>1116000</v>
      </c>
      <c r="S192" s="306"/>
      <c r="T192" s="306">
        <f>'[152]A - 1003'!$D$45</f>
        <v>124000</v>
      </c>
      <c r="U192" s="306">
        <f>R192-T192</f>
        <v>992000</v>
      </c>
    </row>
    <row r="193" spans="1:22" x14ac:dyDescent="0.25">
      <c r="A193" s="262">
        <v>144</v>
      </c>
      <c r="B193" s="284" t="s">
        <v>504</v>
      </c>
      <c r="C193" s="285" t="s">
        <v>697</v>
      </c>
      <c r="D193" s="263" t="s">
        <v>929</v>
      </c>
      <c r="E193" s="264" t="s">
        <v>18</v>
      </c>
      <c r="F193" s="265">
        <v>30000</v>
      </c>
      <c r="G193" s="265">
        <v>3000</v>
      </c>
      <c r="H193" s="265">
        <v>27000</v>
      </c>
      <c r="I193" s="286">
        <v>43770</v>
      </c>
      <c r="J193" s="325">
        <v>43779</v>
      </c>
      <c r="K193" s="331">
        <v>46793</v>
      </c>
      <c r="L193" s="357">
        <v>47401</v>
      </c>
      <c r="M193" s="287">
        <v>100</v>
      </c>
      <c r="N193" s="266">
        <v>0</v>
      </c>
      <c r="O193" s="266">
        <f>+T193/F193</f>
        <v>60</v>
      </c>
      <c r="P193" s="266">
        <f>+M193-N193-O193</f>
        <v>40</v>
      </c>
      <c r="Q193" s="102">
        <v>3000000</v>
      </c>
      <c r="R193" s="267">
        <f t="shared" ref="R193:R207" si="39">+F193*M193</f>
        <v>3000000</v>
      </c>
      <c r="S193" s="268"/>
      <c r="T193" s="268">
        <f>'[153]A - 1004'!$D$122</f>
        <v>1800000</v>
      </c>
      <c r="U193" s="267">
        <f t="shared" si="35"/>
        <v>1200000</v>
      </c>
    </row>
    <row r="194" spans="1:22" x14ac:dyDescent="0.25">
      <c r="A194" s="262">
        <v>145</v>
      </c>
      <c r="B194" s="284" t="s">
        <v>509</v>
      </c>
      <c r="C194" s="285" t="s">
        <v>697</v>
      </c>
      <c r="D194" s="263" t="s">
        <v>929</v>
      </c>
      <c r="E194" s="264" t="s">
        <v>18</v>
      </c>
      <c r="F194" s="265">
        <v>30000</v>
      </c>
      <c r="G194" s="265">
        <f t="shared" ref="G194:G219" si="40">+F194*10%</f>
        <v>3000</v>
      </c>
      <c r="H194" s="265">
        <f t="shared" ref="H194:H220" si="41">+F194-G194:G194</f>
        <v>27000</v>
      </c>
      <c r="I194" s="286">
        <v>43770</v>
      </c>
      <c r="J194" s="325">
        <v>43779</v>
      </c>
      <c r="K194" s="331">
        <f t="shared" si="37"/>
        <v>46793</v>
      </c>
      <c r="L194" s="357">
        <f>EDATE(K194,20)</f>
        <v>47401</v>
      </c>
      <c r="M194" s="287">
        <v>100</v>
      </c>
      <c r="N194" s="266">
        <f t="shared" si="38"/>
        <v>0</v>
      </c>
      <c r="O194" s="266">
        <f>+T194/F194</f>
        <v>59</v>
      </c>
      <c r="P194" s="266">
        <f t="shared" si="34"/>
        <v>41</v>
      </c>
      <c r="R194" s="267">
        <f t="shared" si="39"/>
        <v>3000000</v>
      </c>
      <c r="S194" s="268">
        <v>0</v>
      </c>
      <c r="T194" s="268">
        <f>'[154]A - 1005'!$D$121</f>
        <v>1770000</v>
      </c>
      <c r="U194" s="267">
        <f t="shared" si="35"/>
        <v>1230000</v>
      </c>
    </row>
    <row r="195" spans="1:22" ht="31.5" x14ac:dyDescent="0.25">
      <c r="A195" s="155">
        <v>146</v>
      </c>
      <c r="B195" s="96" t="s">
        <v>510</v>
      </c>
      <c r="C195" s="94" t="s">
        <v>698</v>
      </c>
      <c r="D195" s="371" t="s">
        <v>929</v>
      </c>
      <c r="E195" s="87" t="s">
        <v>18</v>
      </c>
      <c r="F195" s="88">
        <v>22000</v>
      </c>
      <c r="G195" s="88">
        <f t="shared" si="40"/>
        <v>2200</v>
      </c>
      <c r="H195" s="88">
        <f t="shared" si="41"/>
        <v>19800</v>
      </c>
      <c r="I195" s="89">
        <v>42084</v>
      </c>
      <c r="J195" s="328">
        <v>42104</v>
      </c>
      <c r="K195" s="347">
        <f t="shared" si="37"/>
        <v>45117</v>
      </c>
      <c r="L195" s="361">
        <f>EDATE(K195,20)</f>
        <v>45726</v>
      </c>
      <c r="M195" s="90">
        <v>100</v>
      </c>
      <c r="N195" s="91">
        <f t="shared" si="38"/>
        <v>0</v>
      </c>
      <c r="O195" s="91">
        <v>100</v>
      </c>
      <c r="P195" s="91">
        <f t="shared" si="34"/>
        <v>0</v>
      </c>
      <c r="R195" s="92">
        <f t="shared" si="39"/>
        <v>2200000</v>
      </c>
      <c r="S195" s="93">
        <v>0</v>
      </c>
      <c r="T195" s="93">
        <v>2200000</v>
      </c>
      <c r="U195" s="92">
        <f t="shared" si="35"/>
        <v>0</v>
      </c>
    </row>
    <row r="196" spans="1:22" s="162" customFormat="1" x14ac:dyDescent="0.25">
      <c r="A196" s="262"/>
      <c r="B196" s="284" t="s">
        <v>906</v>
      </c>
      <c r="C196" s="285" t="s">
        <v>907</v>
      </c>
      <c r="D196" s="263"/>
      <c r="E196" s="264" t="s">
        <v>18</v>
      </c>
      <c r="F196" s="265">
        <v>31000</v>
      </c>
      <c r="G196" s="265"/>
      <c r="H196" s="265">
        <v>31000</v>
      </c>
      <c r="I196" s="286">
        <v>45971</v>
      </c>
      <c r="J196" s="325">
        <v>45941</v>
      </c>
      <c r="K196" s="331"/>
      <c r="L196" s="357">
        <v>47766</v>
      </c>
      <c r="M196" s="287">
        <v>60</v>
      </c>
      <c r="N196" s="266"/>
      <c r="O196" s="266">
        <f>T196/F196</f>
        <v>7</v>
      </c>
      <c r="P196" s="266">
        <f>M196-O196</f>
        <v>53</v>
      </c>
      <c r="R196" s="267">
        <f t="shared" si="39"/>
        <v>1860000</v>
      </c>
      <c r="S196" s="268"/>
      <c r="T196" s="268">
        <f>'[155]A - 1006'!$D$69</f>
        <v>217000</v>
      </c>
      <c r="U196" s="267">
        <f>R196-T196</f>
        <v>1643000</v>
      </c>
    </row>
    <row r="197" spans="1:22" x14ac:dyDescent="0.25">
      <c r="A197" s="262">
        <v>147</v>
      </c>
      <c r="B197" s="284" t="s">
        <v>513</v>
      </c>
      <c r="C197" s="285" t="s">
        <v>705</v>
      </c>
      <c r="D197" s="263" t="s">
        <v>929</v>
      </c>
      <c r="E197" s="264" t="s">
        <v>18</v>
      </c>
      <c r="F197" s="265">
        <v>22000</v>
      </c>
      <c r="G197" s="265">
        <f t="shared" si="40"/>
        <v>2200</v>
      </c>
      <c r="H197" s="265">
        <f t="shared" si="41"/>
        <v>19800</v>
      </c>
      <c r="I197" s="286"/>
      <c r="J197" s="325">
        <v>42623</v>
      </c>
      <c r="K197" s="331">
        <f t="shared" si="37"/>
        <v>45636</v>
      </c>
      <c r="L197" s="357">
        <f>EDATE(K197,20)</f>
        <v>46244</v>
      </c>
      <c r="M197" s="287">
        <v>100</v>
      </c>
      <c r="N197" s="266">
        <f t="shared" si="38"/>
        <v>0</v>
      </c>
      <c r="O197" s="266">
        <f>+T197/F197</f>
        <v>95</v>
      </c>
      <c r="P197" s="266">
        <f t="shared" si="34"/>
        <v>5</v>
      </c>
      <c r="R197" s="267">
        <f t="shared" si="39"/>
        <v>2200000</v>
      </c>
      <c r="S197" s="268">
        <v>0</v>
      </c>
      <c r="T197" s="268">
        <f>'[156]A - 1007'!$D$121</f>
        <v>2090000</v>
      </c>
      <c r="U197" s="267">
        <f t="shared" si="35"/>
        <v>110000</v>
      </c>
    </row>
    <row r="198" spans="1:22" ht="17.25" customHeight="1" x14ac:dyDescent="0.25">
      <c r="A198" s="208">
        <v>148</v>
      </c>
      <c r="B198" s="226" t="s">
        <v>517</v>
      </c>
      <c r="C198" s="99" t="s">
        <v>699</v>
      </c>
      <c r="D198" s="373" t="s">
        <v>929</v>
      </c>
      <c r="E198" s="210" t="s">
        <v>18</v>
      </c>
      <c r="F198" s="211">
        <v>22000</v>
      </c>
      <c r="G198" s="211">
        <f t="shared" si="40"/>
        <v>2200</v>
      </c>
      <c r="H198" s="211">
        <f t="shared" si="41"/>
        <v>19800</v>
      </c>
      <c r="I198" s="212">
        <v>42289</v>
      </c>
      <c r="J198" s="326">
        <v>42318</v>
      </c>
      <c r="K198" s="345">
        <f t="shared" si="37"/>
        <v>45332</v>
      </c>
      <c r="L198" s="359">
        <f>EDATE(K198,20)</f>
        <v>45940</v>
      </c>
      <c r="M198" s="213">
        <v>100</v>
      </c>
      <c r="N198" s="214">
        <f t="shared" si="38"/>
        <v>0</v>
      </c>
      <c r="O198" s="214">
        <f>+T198/F198</f>
        <v>100</v>
      </c>
      <c r="P198" s="214">
        <f t="shared" si="34"/>
        <v>0</v>
      </c>
      <c r="Q198" s="80"/>
      <c r="R198" s="215">
        <f t="shared" si="39"/>
        <v>2200000</v>
      </c>
      <c r="S198" s="216">
        <v>0</v>
      </c>
      <c r="T198" s="216">
        <f>'[157]A - 1008'!$D$122</f>
        <v>2200000</v>
      </c>
      <c r="U198" s="215">
        <f t="shared" si="35"/>
        <v>0</v>
      </c>
    </row>
    <row r="199" spans="1:22" s="162" customFormat="1" x14ac:dyDescent="0.25">
      <c r="A199" s="301"/>
      <c r="B199" s="302" t="s">
        <v>908</v>
      </c>
      <c r="C199" s="303" t="s">
        <v>909</v>
      </c>
      <c r="D199" s="303"/>
      <c r="E199" s="304" t="s">
        <v>30</v>
      </c>
      <c r="F199" s="304">
        <v>31000</v>
      </c>
      <c r="G199" s="304">
        <v>0</v>
      </c>
      <c r="H199" s="304">
        <f t="shared" si="41"/>
        <v>31000</v>
      </c>
      <c r="I199" s="307" t="s">
        <v>910</v>
      </c>
      <c r="J199" s="321" t="s">
        <v>849</v>
      </c>
      <c r="K199" s="342"/>
      <c r="L199" s="342" t="s">
        <v>850</v>
      </c>
      <c r="M199" s="301">
        <v>36</v>
      </c>
      <c r="N199" s="305"/>
      <c r="O199" s="305">
        <f>T199/F199</f>
        <v>5</v>
      </c>
      <c r="P199" s="305">
        <f>M199-O199</f>
        <v>31</v>
      </c>
      <c r="R199" s="306">
        <f t="shared" si="39"/>
        <v>1116000</v>
      </c>
      <c r="S199" s="306"/>
      <c r="T199" s="306">
        <f>'[158]A - 1008'!$D$45</f>
        <v>155000</v>
      </c>
      <c r="U199" s="306">
        <f>R199-T199</f>
        <v>961000</v>
      </c>
    </row>
    <row r="200" spans="1:22" x14ac:dyDescent="0.25">
      <c r="A200" s="208">
        <v>149</v>
      </c>
      <c r="B200" s="226" t="s">
        <v>522</v>
      </c>
      <c r="C200" s="99" t="s">
        <v>699</v>
      </c>
      <c r="D200" s="373" t="s">
        <v>929</v>
      </c>
      <c r="E200" s="210" t="s">
        <v>18</v>
      </c>
      <c r="F200" s="211">
        <v>22000</v>
      </c>
      <c r="G200" s="211">
        <f t="shared" si="40"/>
        <v>2200</v>
      </c>
      <c r="H200" s="211">
        <f t="shared" si="41"/>
        <v>19800</v>
      </c>
      <c r="I200" s="212">
        <v>42289</v>
      </c>
      <c r="J200" s="326">
        <v>42318</v>
      </c>
      <c r="K200" s="345">
        <f t="shared" si="37"/>
        <v>45332</v>
      </c>
      <c r="L200" s="359">
        <f>EDATE(K200,20)</f>
        <v>45940</v>
      </c>
      <c r="M200" s="213">
        <v>100</v>
      </c>
      <c r="N200" s="214">
        <f t="shared" si="38"/>
        <v>0</v>
      </c>
      <c r="O200" s="214">
        <v>100</v>
      </c>
      <c r="P200" s="214">
        <f t="shared" si="34"/>
        <v>0</v>
      </c>
      <c r="Q200" s="80"/>
      <c r="R200" s="215">
        <f t="shared" si="39"/>
        <v>2200000</v>
      </c>
      <c r="S200" s="216">
        <v>0</v>
      </c>
      <c r="T200" s="216">
        <f>'[159]A - 1009'!$D$122</f>
        <v>2200000</v>
      </c>
      <c r="U200" s="215">
        <f t="shared" si="35"/>
        <v>0</v>
      </c>
    </row>
    <row r="201" spans="1:22" s="162" customFormat="1" x14ac:dyDescent="0.25">
      <c r="A201" s="413"/>
      <c r="B201" s="157" t="s">
        <v>911</v>
      </c>
      <c r="C201" s="451" t="s">
        <v>909</v>
      </c>
      <c r="D201" s="451"/>
      <c r="E201" s="416" t="s">
        <v>30</v>
      </c>
      <c r="F201" s="416">
        <v>31000</v>
      </c>
      <c r="G201" s="416">
        <v>0</v>
      </c>
      <c r="H201" s="416">
        <f t="shared" ref="H201" si="42">+F201-G201:G201</f>
        <v>31000</v>
      </c>
      <c r="I201" s="417" t="s">
        <v>910</v>
      </c>
      <c r="J201" s="418" t="s">
        <v>849</v>
      </c>
      <c r="K201" s="419"/>
      <c r="L201" s="419" t="s">
        <v>850</v>
      </c>
      <c r="M201" s="413">
        <v>36</v>
      </c>
      <c r="N201" s="420"/>
      <c r="O201" s="420">
        <f>T201/F201</f>
        <v>5</v>
      </c>
      <c r="P201" s="420">
        <f>M201-O201</f>
        <v>31</v>
      </c>
      <c r="Q201" s="164"/>
      <c r="R201" s="421">
        <f t="shared" si="39"/>
        <v>1116000</v>
      </c>
      <c r="S201" s="421"/>
      <c r="T201" s="421">
        <f>'[160]A - 1009'!$D$45</f>
        <v>155000</v>
      </c>
      <c r="U201" s="421">
        <f>R201-T201</f>
        <v>961000</v>
      </c>
      <c r="V201" s="164"/>
    </row>
    <row r="202" spans="1:22" x14ac:dyDescent="0.25">
      <c r="A202" s="262">
        <v>150</v>
      </c>
      <c r="B202" s="284" t="s">
        <v>523</v>
      </c>
      <c r="C202" s="285" t="s">
        <v>700</v>
      </c>
      <c r="D202" s="263" t="s">
        <v>929</v>
      </c>
      <c r="E202" s="264" t="s">
        <v>18</v>
      </c>
      <c r="F202" s="265">
        <v>25000</v>
      </c>
      <c r="G202" s="265">
        <f t="shared" si="40"/>
        <v>2500</v>
      </c>
      <c r="H202" s="265">
        <f t="shared" si="41"/>
        <v>22500</v>
      </c>
      <c r="I202" s="286">
        <v>42914</v>
      </c>
      <c r="J202" s="325">
        <v>43049</v>
      </c>
      <c r="K202" s="331">
        <f t="shared" si="37"/>
        <v>46063</v>
      </c>
      <c r="L202" s="357">
        <f>EDATE(K202,20)</f>
        <v>46670</v>
      </c>
      <c r="M202" s="287">
        <v>100</v>
      </c>
      <c r="N202" s="266">
        <f t="shared" si="38"/>
        <v>0</v>
      </c>
      <c r="O202" s="266">
        <f>+T202/F202</f>
        <v>81</v>
      </c>
      <c r="P202" s="266">
        <f t="shared" si="34"/>
        <v>19</v>
      </c>
      <c r="R202" s="267">
        <f t="shared" si="39"/>
        <v>2500000</v>
      </c>
      <c r="S202" s="268">
        <v>0</v>
      </c>
      <c r="T202" s="268">
        <f>'[161]A - 1010'!$D$121</f>
        <v>2025000</v>
      </c>
      <c r="U202" s="267">
        <f t="shared" si="35"/>
        <v>475000</v>
      </c>
    </row>
    <row r="203" spans="1:22" x14ac:dyDescent="0.25">
      <c r="A203" s="270">
        <f>A202+1</f>
        <v>151</v>
      </c>
      <c r="B203" s="288" t="s">
        <v>528</v>
      </c>
      <c r="C203" s="289" t="s">
        <v>701</v>
      </c>
      <c r="D203" s="272" t="s">
        <v>929</v>
      </c>
      <c r="E203" s="273" t="s">
        <v>18</v>
      </c>
      <c r="F203" s="274">
        <v>30000</v>
      </c>
      <c r="G203" s="274">
        <f t="shared" si="40"/>
        <v>3000</v>
      </c>
      <c r="H203" s="274">
        <f t="shared" si="41"/>
        <v>27000</v>
      </c>
      <c r="I203" s="290">
        <v>43211</v>
      </c>
      <c r="J203" s="324">
        <v>43230</v>
      </c>
      <c r="K203" s="343">
        <f t="shared" si="37"/>
        <v>46244</v>
      </c>
      <c r="L203" s="358">
        <f>EDATE(K203,20)</f>
        <v>46853</v>
      </c>
      <c r="M203" s="291">
        <v>100</v>
      </c>
      <c r="N203" s="276">
        <f t="shared" si="38"/>
        <v>0</v>
      </c>
      <c r="O203" s="276">
        <f>+T203/F203</f>
        <v>75</v>
      </c>
      <c r="P203" s="276">
        <f t="shared" si="34"/>
        <v>25</v>
      </c>
      <c r="R203" s="277">
        <f t="shared" si="39"/>
        <v>3000000</v>
      </c>
      <c r="S203" s="278">
        <v>0</v>
      </c>
      <c r="T203" s="278">
        <f>'[162]A - 1011'!$D$121</f>
        <v>2250000</v>
      </c>
      <c r="U203" s="277">
        <f t="shared" si="35"/>
        <v>750000</v>
      </c>
    </row>
    <row r="204" spans="1:22" s="78" customFormat="1" x14ac:dyDescent="0.25">
      <c r="A204" s="270">
        <f t="shared" ref="A204:A220" si="43">A203+1</f>
        <v>152</v>
      </c>
      <c r="B204" s="81" t="s">
        <v>961</v>
      </c>
      <c r="C204" s="154" t="s">
        <v>446</v>
      </c>
      <c r="D204" s="374" t="s">
        <v>929</v>
      </c>
      <c r="E204" s="148" t="s">
        <v>18</v>
      </c>
      <c r="F204" s="149">
        <v>16000</v>
      </c>
      <c r="G204" s="149">
        <f>+F204*10%</f>
        <v>1600</v>
      </c>
      <c r="H204" s="149">
        <f>+F204-G204:G204</f>
        <v>14400</v>
      </c>
      <c r="I204" s="103">
        <v>42017</v>
      </c>
      <c r="J204" s="339">
        <v>42045</v>
      </c>
      <c r="K204" s="353" t="s">
        <v>774</v>
      </c>
      <c r="L204" s="367" t="e">
        <f>EDATE(K204,20)</f>
        <v>#VALUE!</v>
      </c>
      <c r="M204" s="150">
        <v>100</v>
      </c>
      <c r="N204" s="151">
        <v>62</v>
      </c>
      <c r="O204" s="151">
        <f>+T204/F204</f>
        <v>37.696624999999997</v>
      </c>
      <c r="P204" s="151">
        <f>+M204-N204-O204</f>
        <v>0.30337500000000261</v>
      </c>
      <c r="Q204" s="2"/>
      <c r="R204" s="152">
        <v>1855564</v>
      </c>
      <c r="S204" s="153">
        <f>SUM('[163]A - 902'!$D$9:$D$68)</f>
        <v>1187198</v>
      </c>
      <c r="T204" s="153">
        <f>SUM('[164]A - 902'!$D$69:$D$120)</f>
        <v>603146</v>
      </c>
      <c r="U204" s="152"/>
    </row>
    <row r="205" spans="1:22" s="164" customFormat="1" x14ac:dyDescent="0.25">
      <c r="A205" s="270">
        <f t="shared" si="43"/>
        <v>153</v>
      </c>
      <c r="B205" s="157" t="s">
        <v>880</v>
      </c>
      <c r="C205" s="451" t="s">
        <v>881</v>
      </c>
      <c r="D205" s="451" t="s">
        <v>929</v>
      </c>
      <c r="E205" s="416" t="s">
        <v>30</v>
      </c>
      <c r="F205" s="416">
        <v>31000</v>
      </c>
      <c r="G205" s="416"/>
      <c r="H205" s="416">
        <f t="shared" si="41"/>
        <v>31000</v>
      </c>
      <c r="I205" s="417">
        <v>45973</v>
      </c>
      <c r="J205" s="418" t="s">
        <v>849</v>
      </c>
      <c r="K205" s="419"/>
      <c r="L205" s="419" t="s">
        <v>850</v>
      </c>
      <c r="M205" s="413">
        <v>36</v>
      </c>
      <c r="N205" s="420"/>
      <c r="O205" s="420">
        <f>T205/F205</f>
        <v>5</v>
      </c>
      <c r="P205" s="420">
        <f>M205-O205</f>
        <v>31</v>
      </c>
      <c r="R205" s="421">
        <f t="shared" si="39"/>
        <v>1116000</v>
      </c>
      <c r="S205" s="421"/>
      <c r="T205" s="421">
        <f>'[165]A - 1013'!$D$45</f>
        <v>155000</v>
      </c>
      <c r="U205" s="421">
        <f>R205-T205</f>
        <v>961000</v>
      </c>
    </row>
    <row r="206" spans="1:22" x14ac:dyDescent="0.25">
      <c r="A206" s="270">
        <f t="shared" si="43"/>
        <v>154</v>
      </c>
      <c r="B206" s="284" t="s">
        <v>532</v>
      </c>
      <c r="C206" s="285" t="s">
        <v>533</v>
      </c>
      <c r="D206" s="263" t="s">
        <v>929</v>
      </c>
      <c r="E206" s="264" t="s">
        <v>18</v>
      </c>
      <c r="F206" s="265">
        <v>30000</v>
      </c>
      <c r="G206" s="265">
        <f t="shared" si="40"/>
        <v>3000</v>
      </c>
      <c r="H206" s="265">
        <f t="shared" si="41"/>
        <v>27000</v>
      </c>
      <c r="I206" s="286">
        <v>44145</v>
      </c>
      <c r="J206" s="325">
        <v>44145</v>
      </c>
      <c r="K206" s="331">
        <f t="shared" si="37"/>
        <v>47159</v>
      </c>
      <c r="L206" s="357">
        <f>EDATE(K206,20)</f>
        <v>47766</v>
      </c>
      <c r="M206" s="287">
        <v>100</v>
      </c>
      <c r="N206" s="266">
        <f t="shared" si="38"/>
        <v>0</v>
      </c>
      <c r="O206" s="266">
        <f>+T206/F206</f>
        <v>67</v>
      </c>
      <c r="P206" s="266">
        <f t="shared" si="34"/>
        <v>33</v>
      </c>
      <c r="R206" s="267">
        <f t="shared" si="39"/>
        <v>3000000</v>
      </c>
      <c r="S206" s="268">
        <v>0</v>
      </c>
      <c r="T206" s="268">
        <f>'[166]A - 1014'!$D$109</f>
        <v>2010000</v>
      </c>
      <c r="U206" s="267">
        <f t="shared" si="35"/>
        <v>990000</v>
      </c>
    </row>
    <row r="207" spans="1:22" ht="31.5" x14ac:dyDescent="0.25">
      <c r="A207" s="270">
        <f t="shared" si="43"/>
        <v>155</v>
      </c>
      <c r="B207" s="81" t="s">
        <v>538</v>
      </c>
      <c r="C207" s="82" t="s">
        <v>704</v>
      </c>
      <c r="D207" s="372" t="s">
        <v>929</v>
      </c>
      <c r="E207" s="148" t="s">
        <v>18</v>
      </c>
      <c r="F207" s="149">
        <v>25000</v>
      </c>
      <c r="G207" s="149">
        <f t="shared" si="40"/>
        <v>2500</v>
      </c>
      <c r="H207" s="149">
        <f t="shared" si="41"/>
        <v>22500</v>
      </c>
      <c r="I207" s="166">
        <v>43720</v>
      </c>
      <c r="J207" s="329">
        <v>43718</v>
      </c>
      <c r="K207" s="348">
        <f t="shared" si="37"/>
        <v>46731</v>
      </c>
      <c r="L207" s="362">
        <f>EDATE(K207,20)</f>
        <v>47340</v>
      </c>
      <c r="M207" s="150">
        <v>100</v>
      </c>
      <c r="N207" s="151">
        <f t="shared" si="38"/>
        <v>0</v>
      </c>
      <c r="O207" s="151">
        <f>+T207/F207</f>
        <v>57.5</v>
      </c>
      <c r="P207" s="151">
        <f t="shared" si="34"/>
        <v>42.5</v>
      </c>
      <c r="R207" s="152">
        <f t="shared" si="39"/>
        <v>2500000</v>
      </c>
      <c r="S207" s="153">
        <v>0</v>
      </c>
      <c r="T207" s="153">
        <f>'[167]A - 1101'!$D$121</f>
        <v>1437500</v>
      </c>
      <c r="U207" s="152">
        <f t="shared" si="35"/>
        <v>1062500</v>
      </c>
    </row>
    <row r="208" spans="1:22" x14ac:dyDescent="0.25">
      <c r="A208" s="270">
        <f t="shared" si="43"/>
        <v>156</v>
      </c>
      <c r="B208" s="228" t="s">
        <v>963</v>
      </c>
      <c r="C208" s="154" t="s">
        <v>964</v>
      </c>
      <c r="D208" s="374" t="s">
        <v>960</v>
      </c>
      <c r="E208" s="229"/>
      <c r="F208" s="230"/>
      <c r="G208" s="230"/>
      <c r="H208" s="230"/>
      <c r="I208" s="295"/>
      <c r="J208" s="336"/>
      <c r="K208" s="351"/>
      <c r="L208" s="365"/>
      <c r="M208" s="231"/>
      <c r="N208" s="232"/>
      <c r="O208" s="232"/>
      <c r="P208" s="232"/>
      <c r="R208" s="233"/>
      <c r="S208" s="234"/>
      <c r="T208" s="234"/>
      <c r="U208" s="233"/>
    </row>
    <row r="209" spans="1:22" x14ac:dyDescent="0.25">
      <c r="A209" s="270">
        <f t="shared" si="43"/>
        <v>157</v>
      </c>
      <c r="B209" s="302" t="s">
        <v>923</v>
      </c>
      <c r="C209" s="303" t="s">
        <v>765</v>
      </c>
      <c r="D209" s="303" t="s">
        <v>929</v>
      </c>
      <c r="E209" s="304" t="s">
        <v>30</v>
      </c>
      <c r="F209" s="304">
        <v>31000</v>
      </c>
      <c r="G209" s="304">
        <f>+F209*10%</f>
        <v>3100</v>
      </c>
      <c r="H209" s="304">
        <f>+F209-G209:G209</f>
        <v>27900</v>
      </c>
      <c r="I209" s="307"/>
      <c r="J209" s="321"/>
      <c r="K209" s="342"/>
      <c r="L209" s="342"/>
      <c r="M209" s="301">
        <v>50</v>
      </c>
      <c r="N209" s="305"/>
      <c r="O209" s="305">
        <f>T209/F209</f>
        <v>18</v>
      </c>
      <c r="P209" s="305">
        <f>M209-O209</f>
        <v>32</v>
      </c>
      <c r="R209" s="306">
        <f>+F209*M209</f>
        <v>1550000</v>
      </c>
      <c r="S209" s="306"/>
      <c r="T209" s="306">
        <f>'[168]A - 1103'!$D$59</f>
        <v>558000</v>
      </c>
      <c r="U209" s="306">
        <f>R209-T209</f>
        <v>992000</v>
      </c>
    </row>
    <row r="210" spans="1:22" s="162" customFormat="1" x14ac:dyDescent="0.25">
      <c r="A210" s="270">
        <f t="shared" si="43"/>
        <v>158</v>
      </c>
      <c r="B210" s="157" t="s">
        <v>912</v>
      </c>
      <c r="C210" s="451" t="s">
        <v>913</v>
      </c>
      <c r="D210" s="451" t="s">
        <v>929</v>
      </c>
      <c r="E210" s="416" t="s">
        <v>30</v>
      </c>
      <c r="F210" s="416">
        <v>21000</v>
      </c>
      <c r="G210" s="416"/>
      <c r="H210" s="416">
        <f>+F210-G210:G210</f>
        <v>21000</v>
      </c>
      <c r="I210" s="417" t="s">
        <v>914</v>
      </c>
      <c r="J210" s="418" t="s">
        <v>843</v>
      </c>
      <c r="K210" s="419"/>
      <c r="L210" s="419" t="s">
        <v>844</v>
      </c>
      <c r="M210" s="413">
        <v>36</v>
      </c>
      <c r="N210" s="420"/>
      <c r="O210" s="420">
        <f>T210/F210</f>
        <v>8</v>
      </c>
      <c r="P210" s="420">
        <f>M210-O210</f>
        <v>28</v>
      </c>
      <c r="Q210" s="164"/>
      <c r="R210" s="421">
        <f>+F210*M210</f>
        <v>756000</v>
      </c>
      <c r="S210" s="421"/>
      <c r="T210" s="421">
        <f>'[169]A - 1104'!$D$45</f>
        <v>168000</v>
      </c>
      <c r="U210" s="421">
        <f>R210-T210</f>
        <v>588000</v>
      </c>
      <c r="V210" s="164" t="s">
        <v>903</v>
      </c>
    </row>
    <row r="211" spans="1:22" x14ac:dyDescent="0.25">
      <c r="A211" s="270">
        <f t="shared" si="43"/>
        <v>159</v>
      </c>
      <c r="B211" s="288" t="s">
        <v>543</v>
      </c>
      <c r="C211" s="289" t="s">
        <v>702</v>
      </c>
      <c r="D211" s="272" t="s">
        <v>929</v>
      </c>
      <c r="E211" s="273" t="s">
        <v>18</v>
      </c>
      <c r="F211" s="274">
        <v>30000</v>
      </c>
      <c r="G211" s="274">
        <f>+F211*10%</f>
        <v>3000</v>
      </c>
      <c r="H211" s="274">
        <f>+F211-G211:G211</f>
        <v>27000</v>
      </c>
      <c r="I211" s="290">
        <v>43285</v>
      </c>
      <c r="J211" s="324">
        <v>43322</v>
      </c>
      <c r="K211" s="343">
        <f>DATE(YEAR(J211),MONTH(J211)+99,DAY(J211))</f>
        <v>46336</v>
      </c>
      <c r="L211" s="358">
        <f>EDATE(K211,20)</f>
        <v>46944</v>
      </c>
      <c r="M211" s="291">
        <v>100</v>
      </c>
      <c r="N211" s="276">
        <f>+S211</f>
        <v>0</v>
      </c>
      <c r="O211" s="276">
        <f>+T211/F211</f>
        <v>75</v>
      </c>
      <c r="P211" s="276">
        <f>+M211-N211-O211</f>
        <v>25</v>
      </c>
      <c r="R211" s="277">
        <f>+F211*M211</f>
        <v>3000000</v>
      </c>
      <c r="S211" s="278">
        <v>0</v>
      </c>
      <c r="T211" s="278">
        <f>'[170]A - 1105'!$D$121</f>
        <v>2250000</v>
      </c>
      <c r="U211" s="277">
        <f>+R211-S211-T211</f>
        <v>750000</v>
      </c>
    </row>
    <row r="212" spans="1:22" x14ac:dyDescent="0.25">
      <c r="A212" s="270">
        <f t="shared" si="43"/>
        <v>160</v>
      </c>
      <c r="B212" s="302" t="s">
        <v>924</v>
      </c>
      <c r="C212" s="303" t="s">
        <v>765</v>
      </c>
      <c r="D212" s="303" t="s">
        <v>929</v>
      </c>
      <c r="E212" s="304" t="s">
        <v>30</v>
      </c>
      <c r="F212" s="304">
        <v>31000</v>
      </c>
      <c r="G212" s="304">
        <f t="shared" si="40"/>
        <v>3100</v>
      </c>
      <c r="H212" s="304">
        <f t="shared" si="41"/>
        <v>27900</v>
      </c>
      <c r="I212" s="307" t="s">
        <v>766</v>
      </c>
      <c r="J212" s="321" t="s">
        <v>767</v>
      </c>
      <c r="K212" s="342" t="s">
        <v>767</v>
      </c>
      <c r="L212" s="342" t="s">
        <v>767</v>
      </c>
      <c r="M212" s="301">
        <v>50</v>
      </c>
      <c r="N212" s="305">
        <v>11</v>
      </c>
      <c r="O212" s="305" t="e">
        <f>T212/#REF!</f>
        <v>#REF!</v>
      </c>
      <c r="P212" s="305" t="e">
        <f>M212-O212</f>
        <v>#REF!</v>
      </c>
      <c r="R212" s="308">
        <f>1209000+242000</f>
        <v>1451000</v>
      </c>
      <c r="S212" s="308">
        <f>F212*N212</f>
        <v>341000</v>
      </c>
      <c r="T212" s="308">
        <f>'[171]A - 1106'!$D$59</f>
        <v>961000</v>
      </c>
      <c r="U212" s="308">
        <f>R212-T212</f>
        <v>490000</v>
      </c>
    </row>
    <row r="213" spans="1:22" s="54" customFormat="1" x14ac:dyDescent="0.25">
      <c r="A213" s="270">
        <f t="shared" si="43"/>
        <v>161</v>
      </c>
      <c r="B213" s="293" t="s">
        <v>548</v>
      </c>
      <c r="C213" s="294" t="s">
        <v>601</v>
      </c>
      <c r="D213" s="369" t="s">
        <v>929</v>
      </c>
      <c r="E213" s="296" t="s">
        <v>18</v>
      </c>
      <c r="F213" s="265">
        <v>22000</v>
      </c>
      <c r="G213" s="265">
        <f t="shared" si="40"/>
        <v>2200</v>
      </c>
      <c r="H213" s="265">
        <f t="shared" si="41"/>
        <v>19800</v>
      </c>
      <c r="I213" s="300">
        <v>42643</v>
      </c>
      <c r="J213" s="340">
        <v>42653</v>
      </c>
      <c r="K213" s="331">
        <f t="shared" si="37"/>
        <v>45667</v>
      </c>
      <c r="L213" s="357">
        <f>EDATE(K213,20)</f>
        <v>46275</v>
      </c>
      <c r="M213" s="287">
        <v>100</v>
      </c>
      <c r="N213" s="266">
        <f t="shared" si="38"/>
        <v>0</v>
      </c>
      <c r="O213" s="266">
        <f>+T213/F213</f>
        <v>97</v>
      </c>
      <c r="P213" s="266">
        <f t="shared" si="34"/>
        <v>3</v>
      </c>
      <c r="R213" s="267">
        <f>+F213*M213</f>
        <v>2200000</v>
      </c>
      <c r="S213" s="268">
        <v>0</v>
      </c>
      <c r="T213" s="268">
        <f>'[172]A - 1107'!$D$121</f>
        <v>2134000</v>
      </c>
      <c r="U213" s="267">
        <f t="shared" si="35"/>
        <v>66000</v>
      </c>
    </row>
    <row r="214" spans="1:22" x14ac:dyDescent="0.25">
      <c r="A214" s="270">
        <f t="shared" si="43"/>
        <v>162</v>
      </c>
      <c r="B214" s="284" t="s">
        <v>553</v>
      </c>
      <c r="C214" s="285" t="s">
        <v>554</v>
      </c>
      <c r="D214" s="263" t="s">
        <v>929</v>
      </c>
      <c r="E214" s="264" t="s">
        <v>18</v>
      </c>
      <c r="F214" s="265">
        <v>30000</v>
      </c>
      <c r="G214" s="265">
        <f t="shared" si="40"/>
        <v>3000</v>
      </c>
      <c r="H214" s="265">
        <f t="shared" si="41"/>
        <v>27000</v>
      </c>
      <c r="I214" s="286">
        <v>44264</v>
      </c>
      <c r="J214" s="325">
        <v>44296</v>
      </c>
      <c r="K214" s="331">
        <f t="shared" si="37"/>
        <v>47309</v>
      </c>
      <c r="L214" s="357">
        <f>EDATE(K214,20)</f>
        <v>47917</v>
      </c>
      <c r="M214" s="287">
        <v>100</v>
      </c>
      <c r="N214" s="266">
        <f t="shared" si="38"/>
        <v>0</v>
      </c>
      <c r="O214" s="266">
        <f>+T214/F214</f>
        <v>62</v>
      </c>
      <c r="P214" s="266">
        <f t="shared" si="34"/>
        <v>38</v>
      </c>
      <c r="R214" s="267">
        <f>+F214*M214</f>
        <v>3000000</v>
      </c>
      <c r="S214" s="268">
        <v>0</v>
      </c>
      <c r="T214" s="268">
        <f>'[173]A - 1108'!$D$109</f>
        <v>1860000</v>
      </c>
      <c r="U214" s="267">
        <f t="shared" si="35"/>
        <v>1140000</v>
      </c>
    </row>
    <row r="215" spans="1:22" ht="31.5" x14ac:dyDescent="0.25">
      <c r="A215" s="270">
        <f t="shared" si="43"/>
        <v>163</v>
      </c>
      <c r="B215" s="284" t="s">
        <v>762</v>
      </c>
      <c r="C215" s="285" t="s">
        <v>763</v>
      </c>
      <c r="D215" s="263" t="s">
        <v>929</v>
      </c>
      <c r="E215" s="264" t="s">
        <v>18</v>
      </c>
      <c r="F215" s="265">
        <v>33000</v>
      </c>
      <c r="G215" s="265">
        <f t="shared" si="40"/>
        <v>3300</v>
      </c>
      <c r="H215" s="265">
        <f t="shared" si="41"/>
        <v>29700</v>
      </c>
      <c r="I215" s="286"/>
      <c r="J215" s="324">
        <v>45204</v>
      </c>
      <c r="K215" s="331">
        <v>46667</v>
      </c>
      <c r="L215" s="357">
        <v>46667</v>
      </c>
      <c r="M215" s="291">
        <v>50</v>
      </c>
      <c r="N215" s="266"/>
      <c r="O215" s="266">
        <f>+T215/F215</f>
        <v>40</v>
      </c>
      <c r="P215" s="266">
        <f>M215-O215</f>
        <v>10</v>
      </c>
      <c r="R215" s="267">
        <f>+F215*M215</f>
        <v>1650000</v>
      </c>
      <c r="S215" s="268"/>
      <c r="T215" s="268">
        <f>'[174]A - 1109'!$D$59</f>
        <v>1320000</v>
      </c>
      <c r="U215" s="267">
        <f>R215-T215</f>
        <v>330000</v>
      </c>
    </row>
    <row r="216" spans="1:22" ht="31.5" x14ac:dyDescent="0.25">
      <c r="A216" s="270">
        <f t="shared" si="43"/>
        <v>164</v>
      </c>
      <c r="B216" s="284" t="s">
        <v>764</v>
      </c>
      <c r="C216" s="285" t="s">
        <v>763</v>
      </c>
      <c r="D216" s="263" t="s">
        <v>929</v>
      </c>
      <c r="E216" s="264" t="s">
        <v>18</v>
      </c>
      <c r="F216" s="265">
        <v>33000</v>
      </c>
      <c r="G216" s="265">
        <f>+F216*10%</f>
        <v>3300</v>
      </c>
      <c r="H216" s="265">
        <f>+F216-G216:G216</f>
        <v>29700</v>
      </c>
      <c r="I216" s="286"/>
      <c r="J216" s="324">
        <v>45204</v>
      </c>
      <c r="K216" s="331">
        <v>46667</v>
      </c>
      <c r="L216" s="357">
        <v>46667</v>
      </c>
      <c r="M216" s="291">
        <v>50</v>
      </c>
      <c r="N216" s="266"/>
      <c r="O216" s="266">
        <v>40</v>
      </c>
      <c r="P216" s="266">
        <v>18</v>
      </c>
      <c r="Q216" s="145">
        <v>1650000</v>
      </c>
      <c r="R216" s="268">
        <v>1650000</v>
      </c>
      <c r="S216" s="268"/>
      <c r="T216" s="267">
        <f>'[175]A - 1110'!$D$59</f>
        <v>1320000</v>
      </c>
      <c r="U216" s="267">
        <f>R216-T216</f>
        <v>330000</v>
      </c>
    </row>
    <row r="217" spans="1:22" x14ac:dyDescent="0.25">
      <c r="A217" s="270">
        <f t="shared" si="43"/>
        <v>165</v>
      </c>
      <c r="B217" s="284" t="s">
        <v>559</v>
      </c>
      <c r="C217" s="285" t="s">
        <v>703</v>
      </c>
      <c r="D217" s="263" t="s">
        <v>929</v>
      </c>
      <c r="E217" s="264" t="s">
        <v>18</v>
      </c>
      <c r="F217" s="265">
        <v>30000</v>
      </c>
      <c r="G217" s="265">
        <f t="shared" si="40"/>
        <v>3000</v>
      </c>
      <c r="H217" s="265">
        <f t="shared" si="41"/>
        <v>27000</v>
      </c>
      <c r="I217" s="286">
        <v>43202</v>
      </c>
      <c r="J217" s="324">
        <v>43230</v>
      </c>
      <c r="K217" s="331">
        <f t="shared" si="37"/>
        <v>46244</v>
      </c>
      <c r="L217" s="357">
        <f>EDATE(K217,20)</f>
        <v>46853</v>
      </c>
      <c r="M217" s="291">
        <v>100</v>
      </c>
      <c r="N217" s="266">
        <f t="shared" si="38"/>
        <v>0</v>
      </c>
      <c r="O217" s="266">
        <f>+T217/F217</f>
        <v>78</v>
      </c>
      <c r="P217" s="266">
        <f t="shared" si="34"/>
        <v>22</v>
      </c>
      <c r="R217" s="267">
        <f>+F217*M217</f>
        <v>3000000</v>
      </c>
      <c r="S217" s="268">
        <v>0</v>
      </c>
      <c r="T217" s="268">
        <f>'[176]A - 1111'!$D$121</f>
        <v>2340000</v>
      </c>
      <c r="U217" s="267">
        <f t="shared" si="35"/>
        <v>660000</v>
      </c>
    </row>
    <row r="218" spans="1:22" x14ac:dyDescent="0.25">
      <c r="A218" s="270">
        <f t="shared" si="43"/>
        <v>166</v>
      </c>
      <c r="B218" s="271" t="s">
        <v>965</v>
      </c>
      <c r="C218" s="272" t="s">
        <v>966</v>
      </c>
      <c r="D218" s="272" t="s">
        <v>929</v>
      </c>
      <c r="E218" s="273" t="s">
        <v>30</v>
      </c>
      <c r="F218" s="274">
        <v>31000</v>
      </c>
      <c r="G218" s="274">
        <f t="shared" si="40"/>
        <v>3100</v>
      </c>
      <c r="H218" s="274">
        <f t="shared" si="41"/>
        <v>27900</v>
      </c>
      <c r="I218" s="275">
        <v>46358</v>
      </c>
      <c r="J218" s="322" t="s">
        <v>967</v>
      </c>
      <c r="K218" s="343"/>
      <c r="L218" s="358" t="s">
        <v>919</v>
      </c>
      <c r="M218" s="270">
        <v>36</v>
      </c>
      <c r="N218" s="276"/>
      <c r="O218" s="266">
        <v>3</v>
      </c>
      <c r="P218" s="276">
        <f>M218-O218</f>
        <v>33</v>
      </c>
      <c r="R218" s="277">
        <f>+F218*M218</f>
        <v>1116000</v>
      </c>
      <c r="S218" s="278"/>
      <c r="T218" s="278">
        <v>93000</v>
      </c>
      <c r="U218" s="277">
        <f>R218-T218</f>
        <v>1023000</v>
      </c>
    </row>
    <row r="219" spans="1:22" x14ac:dyDescent="0.25">
      <c r="A219" s="270">
        <f t="shared" si="43"/>
        <v>167</v>
      </c>
      <c r="B219" s="271" t="s">
        <v>968</v>
      </c>
      <c r="C219" s="272" t="s">
        <v>969</v>
      </c>
      <c r="D219" s="272" t="s">
        <v>929</v>
      </c>
      <c r="E219" s="273" t="s">
        <v>30</v>
      </c>
      <c r="F219" s="274">
        <v>31000</v>
      </c>
      <c r="G219" s="274">
        <f t="shared" si="40"/>
        <v>3100</v>
      </c>
      <c r="H219" s="274">
        <f t="shared" si="41"/>
        <v>27900</v>
      </c>
      <c r="I219" s="275" t="s">
        <v>970</v>
      </c>
      <c r="J219" s="322" t="s">
        <v>943</v>
      </c>
      <c r="K219" s="343"/>
      <c r="L219" s="358" t="s">
        <v>944</v>
      </c>
      <c r="M219" s="270">
        <v>36</v>
      </c>
      <c r="N219" s="276"/>
      <c r="O219" s="266"/>
      <c r="P219" s="276"/>
      <c r="R219" s="277">
        <f>+F219*M219</f>
        <v>1116000</v>
      </c>
      <c r="S219" s="278"/>
      <c r="T219" s="278"/>
      <c r="U219" s="277">
        <v>1116000</v>
      </c>
    </row>
    <row r="220" spans="1:22" x14ac:dyDescent="0.25">
      <c r="A220" s="270">
        <f t="shared" si="43"/>
        <v>168</v>
      </c>
      <c r="B220" s="271" t="s">
        <v>835</v>
      </c>
      <c r="C220" s="272" t="s">
        <v>834</v>
      </c>
      <c r="D220" s="272"/>
      <c r="E220" s="273" t="s">
        <v>18</v>
      </c>
      <c r="F220" s="274">
        <v>32500</v>
      </c>
      <c r="G220" s="274">
        <v>3250</v>
      </c>
      <c r="H220" s="274">
        <f t="shared" si="41"/>
        <v>29250</v>
      </c>
      <c r="I220" s="275"/>
      <c r="J220" s="322"/>
      <c r="K220" s="343"/>
      <c r="L220" s="358"/>
      <c r="M220" s="270">
        <v>36</v>
      </c>
      <c r="N220" s="276"/>
      <c r="O220" s="266">
        <f>+T220/F220</f>
        <v>9</v>
      </c>
      <c r="P220" s="276">
        <f>M220-O220</f>
        <v>27</v>
      </c>
      <c r="R220" s="277">
        <f>+F220*M220</f>
        <v>1170000</v>
      </c>
      <c r="S220" s="278"/>
      <c r="T220" s="278">
        <f>'[177]A - 1114'!$D$45</f>
        <v>292500</v>
      </c>
      <c r="U220" s="277">
        <f>R220-T220</f>
        <v>877500</v>
      </c>
    </row>
    <row r="221" spans="1:22" x14ac:dyDescent="0.25">
      <c r="A221" s="256" t="s">
        <v>754</v>
      </c>
      <c r="B221" s="158"/>
      <c r="C221" s="257"/>
      <c r="D221" s="257"/>
      <c r="E221" s="258"/>
      <c r="F221" s="259"/>
      <c r="G221" s="259"/>
      <c r="H221" s="259"/>
      <c r="I221" s="260"/>
      <c r="J221" s="341"/>
      <c r="K221" s="341"/>
      <c r="L221" s="341"/>
      <c r="M221" s="259"/>
      <c r="N221" s="261"/>
      <c r="O221" s="261"/>
      <c r="P221" s="261"/>
      <c r="R221" s="259"/>
      <c r="S221" s="259"/>
      <c r="T221" s="259"/>
      <c r="U221" s="259"/>
    </row>
  </sheetData>
  <autoFilter ref="A7:U220" xr:uid="{00000000-0009-0000-0000-000001000000}"/>
  <mergeCells count="11">
    <mergeCell ref="R5:U5"/>
    <mergeCell ref="A5:C5"/>
    <mergeCell ref="E5:H5"/>
    <mergeCell ref="I5:K5"/>
    <mergeCell ref="M5:P5"/>
    <mergeCell ref="M1:U1"/>
    <mergeCell ref="M2:U2"/>
    <mergeCell ref="M3:U3"/>
    <mergeCell ref="A1:L1"/>
    <mergeCell ref="A2:L2"/>
    <mergeCell ref="A3:L3"/>
  </mergeCells>
  <pageMargins left="0" right="0" top="0.75" bottom="0.75" header="0.3" footer="0.3"/>
  <pageSetup scale="4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D4E8-CB90-4D88-8854-DF9153700544}">
  <dimension ref="A1:V52"/>
  <sheetViews>
    <sheetView workbookViewId="0">
      <selection activeCell="A9" sqref="A9:XFD9"/>
    </sheetView>
  </sheetViews>
  <sheetFormatPr defaultRowHeight="15" x14ac:dyDescent="0.25"/>
  <cols>
    <col min="3" max="3" width="21.85546875" bestFit="1" customWidth="1"/>
    <col min="7" max="7" width="7.5703125" bestFit="1" customWidth="1"/>
    <col min="9" max="12" width="11.5703125" bestFit="1" customWidth="1"/>
    <col min="13" max="13" width="4.42578125" bestFit="1" customWidth="1"/>
    <col min="14" max="14" width="7.5703125" bestFit="1" customWidth="1"/>
    <col min="18" max="20" width="11.5703125" bestFit="1" customWidth="1"/>
    <col min="21" max="21" width="10.5703125" bestFit="1" customWidth="1"/>
  </cols>
  <sheetData>
    <row r="1" spans="1:22" s="78" customFormat="1" ht="15.75" x14ac:dyDescent="0.25">
      <c r="A1" s="208">
        <v>19</v>
      </c>
      <c r="B1" s="209" t="s">
        <v>48</v>
      </c>
      <c r="C1" s="86" t="s">
        <v>606</v>
      </c>
      <c r="D1" s="368" t="s">
        <v>929</v>
      </c>
      <c r="E1" s="210" t="s">
        <v>18</v>
      </c>
      <c r="F1" s="211">
        <v>16000</v>
      </c>
      <c r="G1" s="211">
        <v>1600</v>
      </c>
      <c r="H1" s="211">
        <v>14400</v>
      </c>
      <c r="I1" s="212">
        <v>41711</v>
      </c>
      <c r="J1" s="326">
        <v>41739</v>
      </c>
      <c r="K1" s="345">
        <v>44752</v>
      </c>
      <c r="L1" s="359">
        <v>45361</v>
      </c>
      <c r="M1" s="213">
        <v>100</v>
      </c>
      <c r="N1" s="214">
        <v>0</v>
      </c>
      <c r="O1" s="214">
        <v>100</v>
      </c>
      <c r="P1" s="214">
        <v>0</v>
      </c>
      <c r="Q1" s="80"/>
      <c r="R1" s="215">
        <v>1600000</v>
      </c>
      <c r="S1" s="216">
        <v>0</v>
      </c>
      <c r="T1" s="216">
        <v>1600000</v>
      </c>
      <c r="U1" s="215"/>
    </row>
    <row r="2" spans="1:22" s="80" customFormat="1" ht="15.75" x14ac:dyDescent="0.25">
      <c r="A2" s="208">
        <v>29</v>
      </c>
      <c r="B2" s="209" t="s">
        <v>52</v>
      </c>
      <c r="C2" s="86" t="s">
        <v>607</v>
      </c>
      <c r="D2" s="368" t="s">
        <v>929</v>
      </c>
      <c r="E2" s="210" t="s">
        <v>18</v>
      </c>
      <c r="F2" s="211">
        <v>16000</v>
      </c>
      <c r="G2" s="211">
        <v>1600</v>
      </c>
      <c r="H2" s="211">
        <v>14400</v>
      </c>
      <c r="I2" s="212">
        <v>41787</v>
      </c>
      <c r="J2" s="326">
        <v>41800</v>
      </c>
      <c r="K2" s="345">
        <v>44814</v>
      </c>
      <c r="L2" s="359">
        <v>45422</v>
      </c>
      <c r="M2" s="213">
        <v>100</v>
      </c>
      <c r="N2" s="214">
        <v>0</v>
      </c>
      <c r="O2" s="214">
        <v>100</v>
      </c>
      <c r="P2" s="214">
        <v>0</v>
      </c>
      <c r="R2" s="215">
        <v>1600000</v>
      </c>
      <c r="S2" s="216">
        <v>0</v>
      </c>
      <c r="T2" s="216">
        <v>1600000</v>
      </c>
      <c r="U2" s="215">
        <v>0</v>
      </c>
      <c r="V2" s="80" t="s">
        <v>932</v>
      </c>
    </row>
    <row r="3" spans="1:22" s="78" customFormat="1" ht="15.75" x14ac:dyDescent="0.25">
      <c r="A3" s="155">
        <v>31</v>
      </c>
      <c r="B3" s="96" t="s">
        <v>57</v>
      </c>
      <c r="C3" s="94" t="s">
        <v>608</v>
      </c>
      <c r="D3" s="371" t="s">
        <v>929</v>
      </c>
      <c r="E3" s="87" t="s">
        <v>18</v>
      </c>
      <c r="F3" s="88">
        <v>16000</v>
      </c>
      <c r="G3" s="88">
        <v>1600</v>
      </c>
      <c r="H3" s="88">
        <v>14400</v>
      </c>
      <c r="I3" s="89">
        <v>41744</v>
      </c>
      <c r="J3" s="328">
        <v>41769</v>
      </c>
      <c r="K3" s="347">
        <v>44783</v>
      </c>
      <c r="L3" s="361">
        <v>45392</v>
      </c>
      <c r="M3" s="90">
        <v>100</v>
      </c>
      <c r="N3" s="91">
        <v>0</v>
      </c>
      <c r="O3" s="91">
        <v>100</v>
      </c>
      <c r="P3" s="91">
        <v>0</v>
      </c>
      <c r="Q3" s="80"/>
      <c r="R3" s="92">
        <v>1600000</v>
      </c>
      <c r="S3" s="93">
        <v>0</v>
      </c>
      <c r="T3" s="93">
        <v>1568000</v>
      </c>
      <c r="U3" s="92">
        <v>0</v>
      </c>
    </row>
    <row r="4" spans="1:22" s="78" customFormat="1" ht="15.75" x14ac:dyDescent="0.25">
      <c r="A4" s="155">
        <v>33</v>
      </c>
      <c r="B4" s="96" t="s">
        <v>66</v>
      </c>
      <c r="C4" s="99" t="s">
        <v>610</v>
      </c>
      <c r="D4" s="373" t="s">
        <v>929</v>
      </c>
      <c r="E4" s="87" t="s">
        <v>18</v>
      </c>
      <c r="F4" s="88">
        <v>16000</v>
      </c>
      <c r="G4" s="88">
        <v>1600</v>
      </c>
      <c r="H4" s="88">
        <v>14400</v>
      </c>
      <c r="I4" s="89">
        <v>41657</v>
      </c>
      <c r="J4" s="328">
        <v>41680</v>
      </c>
      <c r="K4" s="347">
        <v>44691</v>
      </c>
      <c r="L4" s="361">
        <v>45301</v>
      </c>
      <c r="M4" s="90">
        <v>100</v>
      </c>
      <c r="N4" s="91">
        <v>0</v>
      </c>
      <c r="O4" s="91">
        <v>100</v>
      </c>
      <c r="P4" s="91">
        <v>0</v>
      </c>
      <c r="Q4" s="2"/>
      <c r="R4" s="92">
        <v>1600000</v>
      </c>
      <c r="S4" s="93">
        <v>0</v>
      </c>
      <c r="T4" s="93">
        <v>1600000</v>
      </c>
      <c r="U4" s="92">
        <v>0</v>
      </c>
    </row>
    <row r="5" spans="1:22" s="78" customFormat="1" ht="31.5" x14ac:dyDescent="0.25">
      <c r="A5" s="155">
        <v>34</v>
      </c>
      <c r="B5" s="96" t="s">
        <v>71</v>
      </c>
      <c r="C5" s="99" t="s">
        <v>710</v>
      </c>
      <c r="D5" s="373" t="s">
        <v>929</v>
      </c>
      <c r="E5" s="87" t="s">
        <v>18</v>
      </c>
      <c r="F5" s="88">
        <v>22000</v>
      </c>
      <c r="G5" s="88">
        <v>2200</v>
      </c>
      <c r="H5" s="88">
        <v>19800</v>
      </c>
      <c r="I5" s="89">
        <v>42128</v>
      </c>
      <c r="J5" s="328">
        <v>42165</v>
      </c>
      <c r="K5" s="347">
        <v>45179</v>
      </c>
      <c r="L5" s="361">
        <v>45787</v>
      </c>
      <c r="M5" s="90">
        <v>100</v>
      </c>
      <c r="N5" s="91">
        <v>7</v>
      </c>
      <c r="O5" s="91">
        <v>93</v>
      </c>
      <c r="P5" s="91">
        <v>0</v>
      </c>
      <c r="Q5" s="80"/>
      <c r="R5" s="92">
        <v>2151000</v>
      </c>
      <c r="S5" s="93">
        <v>105000</v>
      </c>
      <c r="T5" s="93">
        <v>2046000</v>
      </c>
      <c r="U5" s="92">
        <v>0</v>
      </c>
    </row>
    <row r="6" spans="1:22" s="2" customFormat="1" ht="15.75" x14ac:dyDescent="0.25">
      <c r="A6" s="239">
        <v>39</v>
      </c>
      <c r="B6" s="159" t="s">
        <v>91</v>
      </c>
      <c r="C6" s="240" t="s">
        <v>614</v>
      </c>
      <c r="D6" s="240" t="s">
        <v>929</v>
      </c>
      <c r="E6" s="241" t="s">
        <v>30</v>
      </c>
      <c r="F6" s="241">
        <v>16000</v>
      </c>
      <c r="G6" s="241">
        <v>1600</v>
      </c>
      <c r="H6" s="241">
        <v>14400</v>
      </c>
      <c r="I6" s="242">
        <v>41787</v>
      </c>
      <c r="J6" s="330">
        <v>41800</v>
      </c>
      <c r="K6" s="349">
        <v>44814</v>
      </c>
      <c r="L6" s="349">
        <v>45422</v>
      </c>
      <c r="M6" s="239">
        <v>100</v>
      </c>
      <c r="N6" s="243">
        <v>0</v>
      </c>
      <c r="O6" s="243">
        <v>100</v>
      </c>
      <c r="P6" s="243">
        <v>0</v>
      </c>
      <c r="Q6" s="80"/>
      <c r="R6" s="241">
        <v>1600000</v>
      </c>
      <c r="S6" s="241">
        <v>0</v>
      </c>
      <c r="T6" s="241">
        <v>1568000</v>
      </c>
      <c r="U6" s="241">
        <v>32000</v>
      </c>
    </row>
    <row r="7" spans="1:22" s="80" customFormat="1" ht="15.75" x14ac:dyDescent="0.25">
      <c r="A7" s="208">
        <v>41</v>
      </c>
      <c r="B7" s="226" t="s">
        <v>101</v>
      </c>
      <c r="C7" s="99" t="s">
        <v>616</v>
      </c>
      <c r="D7" s="373" t="s">
        <v>929</v>
      </c>
      <c r="E7" s="210" t="s">
        <v>18</v>
      </c>
      <c r="F7" s="211">
        <v>16000</v>
      </c>
      <c r="G7" s="211">
        <v>1600</v>
      </c>
      <c r="H7" s="211">
        <v>14400</v>
      </c>
      <c r="I7" s="212">
        <v>41891</v>
      </c>
      <c r="J7" s="326">
        <v>41922</v>
      </c>
      <c r="K7" s="345">
        <v>44936</v>
      </c>
      <c r="L7" s="359">
        <v>45545</v>
      </c>
      <c r="M7" s="213">
        <v>100</v>
      </c>
      <c r="N7" s="214">
        <v>0</v>
      </c>
      <c r="O7" s="214">
        <v>100</v>
      </c>
      <c r="P7" s="214">
        <v>0</v>
      </c>
      <c r="R7" s="215">
        <v>1600000</v>
      </c>
      <c r="S7" s="216">
        <v>0</v>
      </c>
      <c r="T7" s="216">
        <v>1600000</v>
      </c>
      <c r="U7" s="215">
        <v>0</v>
      </c>
      <c r="V7" s="80" t="s">
        <v>945</v>
      </c>
    </row>
    <row r="8" spans="1:22" s="2" customFormat="1" ht="15.75" x14ac:dyDescent="0.25">
      <c r="A8" s="239">
        <v>42</v>
      </c>
      <c r="B8" s="159" t="s">
        <v>106</v>
      </c>
      <c r="C8" s="240" t="s">
        <v>617</v>
      </c>
      <c r="D8" s="240" t="s">
        <v>929</v>
      </c>
      <c r="E8" s="241" t="s">
        <v>30</v>
      </c>
      <c r="F8" s="241">
        <v>16000</v>
      </c>
      <c r="G8" s="241">
        <v>1600</v>
      </c>
      <c r="H8" s="241">
        <v>14400</v>
      </c>
      <c r="I8" s="242">
        <v>41827</v>
      </c>
      <c r="J8" s="330">
        <v>41907</v>
      </c>
      <c r="K8" s="349">
        <v>44920</v>
      </c>
      <c r="L8" s="349">
        <v>45529</v>
      </c>
      <c r="M8" s="239">
        <v>100</v>
      </c>
      <c r="N8" s="243">
        <v>0</v>
      </c>
      <c r="O8" s="243">
        <v>100</v>
      </c>
      <c r="P8" s="243">
        <v>0</v>
      </c>
      <c r="Q8" s="80"/>
      <c r="R8" s="241">
        <v>1600000</v>
      </c>
      <c r="S8" s="241">
        <v>0</v>
      </c>
      <c r="T8" s="241">
        <v>1584000</v>
      </c>
      <c r="U8" s="241">
        <v>16000</v>
      </c>
    </row>
    <row r="9" spans="1:22" s="2" customFormat="1" ht="15.75" x14ac:dyDescent="0.25">
      <c r="A9" s="239">
        <v>44</v>
      </c>
      <c r="B9" s="159" t="s">
        <v>107</v>
      </c>
      <c r="C9" s="240" t="s">
        <v>618</v>
      </c>
      <c r="D9" s="240" t="s">
        <v>929</v>
      </c>
      <c r="E9" s="241" t="s">
        <v>30</v>
      </c>
      <c r="F9" s="241">
        <v>16000</v>
      </c>
      <c r="G9" s="241">
        <v>1600</v>
      </c>
      <c r="H9" s="241">
        <v>14400</v>
      </c>
      <c r="I9" s="242">
        <v>41795</v>
      </c>
      <c r="J9" s="330">
        <v>41784</v>
      </c>
      <c r="K9" s="349">
        <v>44798</v>
      </c>
      <c r="L9" s="349">
        <v>45407</v>
      </c>
      <c r="M9" s="239">
        <v>100</v>
      </c>
      <c r="N9" s="246">
        <v>44</v>
      </c>
      <c r="O9" s="246">
        <v>56</v>
      </c>
      <c r="P9" s="246">
        <v>0</v>
      </c>
      <c r="Q9" s="80"/>
      <c r="R9" s="245">
        <v>1248000</v>
      </c>
      <c r="S9" s="245">
        <v>352000</v>
      </c>
      <c r="T9" s="245">
        <v>896000</v>
      </c>
      <c r="U9" s="245">
        <v>0</v>
      </c>
    </row>
    <row r="10" spans="1:22" s="2" customFormat="1" ht="15.75" x14ac:dyDescent="0.25">
      <c r="A10" s="239">
        <v>46</v>
      </c>
      <c r="B10" s="160" t="s">
        <v>112</v>
      </c>
      <c r="C10" s="244" t="s">
        <v>619</v>
      </c>
      <c r="D10" s="244" t="s">
        <v>929</v>
      </c>
      <c r="E10" s="245" t="s">
        <v>30</v>
      </c>
      <c r="F10" s="245">
        <v>25000</v>
      </c>
      <c r="G10" s="245">
        <v>2500</v>
      </c>
      <c r="H10" s="245">
        <v>22500</v>
      </c>
      <c r="I10" s="242">
        <v>42916</v>
      </c>
      <c r="J10" s="330">
        <v>42941</v>
      </c>
      <c r="K10" s="349">
        <v>45955</v>
      </c>
      <c r="L10" s="349">
        <v>46563</v>
      </c>
      <c r="M10" s="247">
        <v>100</v>
      </c>
      <c r="N10" s="246">
        <v>0</v>
      </c>
      <c r="O10" s="246">
        <v>69</v>
      </c>
      <c r="P10" s="246">
        <v>31</v>
      </c>
      <c r="Q10" s="80"/>
      <c r="R10" s="245">
        <v>2500000</v>
      </c>
      <c r="S10" s="245">
        <v>0</v>
      </c>
      <c r="T10" s="245">
        <v>1725000</v>
      </c>
      <c r="U10" s="245">
        <v>775000</v>
      </c>
    </row>
    <row r="11" spans="1:22" s="78" customFormat="1" ht="15.75" x14ac:dyDescent="0.25">
      <c r="A11" s="155">
        <v>48</v>
      </c>
      <c r="B11" s="96" t="s">
        <v>737</v>
      </c>
      <c r="C11" s="99" t="s">
        <v>743</v>
      </c>
      <c r="D11" s="373"/>
      <c r="E11" s="87" t="s">
        <v>18</v>
      </c>
      <c r="F11" s="88">
        <v>16000</v>
      </c>
      <c r="G11" s="88">
        <v>1600</v>
      </c>
      <c r="H11" s="88">
        <v>14400</v>
      </c>
      <c r="I11" s="89"/>
      <c r="J11" s="328">
        <v>41800</v>
      </c>
      <c r="K11" s="347">
        <v>44814</v>
      </c>
      <c r="L11" s="361">
        <v>45422</v>
      </c>
      <c r="M11" s="90">
        <v>100</v>
      </c>
      <c r="N11" s="91">
        <v>0</v>
      </c>
      <c r="O11" s="91">
        <v>62</v>
      </c>
      <c r="P11" s="91">
        <v>38</v>
      </c>
      <c r="Q11" s="80"/>
      <c r="R11" s="92">
        <v>1600000</v>
      </c>
      <c r="S11" s="93">
        <v>0</v>
      </c>
      <c r="T11" s="93">
        <v>992000</v>
      </c>
      <c r="U11" s="92">
        <v>608000</v>
      </c>
      <c r="V11" s="78" t="s">
        <v>946</v>
      </c>
    </row>
    <row r="12" spans="1:22" s="78" customFormat="1" ht="15.75" x14ac:dyDescent="0.25">
      <c r="A12" s="155">
        <v>51</v>
      </c>
      <c r="B12" s="96" t="s">
        <v>131</v>
      </c>
      <c r="C12" s="99" t="s">
        <v>623</v>
      </c>
      <c r="D12" s="373" t="s">
        <v>929</v>
      </c>
      <c r="E12" s="87" t="s">
        <v>18</v>
      </c>
      <c r="F12" s="88">
        <v>16000</v>
      </c>
      <c r="G12" s="88">
        <v>1600</v>
      </c>
      <c r="H12" s="88">
        <v>14400</v>
      </c>
      <c r="I12" s="89">
        <v>41842</v>
      </c>
      <c r="J12" s="328">
        <v>41861</v>
      </c>
      <c r="K12" s="347">
        <v>44875</v>
      </c>
      <c r="L12" s="361">
        <v>45483</v>
      </c>
      <c r="M12" s="90">
        <v>100</v>
      </c>
      <c r="N12" s="91">
        <v>0</v>
      </c>
      <c r="O12" s="91">
        <v>100</v>
      </c>
      <c r="P12" s="91">
        <v>0</v>
      </c>
      <c r="Q12" s="80"/>
      <c r="R12" s="92">
        <v>1600000</v>
      </c>
      <c r="S12" s="93">
        <v>0</v>
      </c>
      <c r="T12" s="93">
        <v>1600000</v>
      </c>
      <c r="U12" s="92">
        <v>0</v>
      </c>
    </row>
    <row r="13" spans="1:22" s="2" customFormat="1" ht="15.75" x14ac:dyDescent="0.25">
      <c r="A13" s="239">
        <v>56</v>
      </c>
      <c r="B13" s="159" t="s">
        <v>149</v>
      </c>
      <c r="C13" s="240" t="s">
        <v>625</v>
      </c>
      <c r="D13" s="240" t="s">
        <v>929</v>
      </c>
      <c r="E13" s="241" t="s">
        <v>30</v>
      </c>
      <c r="F13" s="241">
        <v>16000</v>
      </c>
      <c r="G13" s="241">
        <v>1600</v>
      </c>
      <c r="H13" s="241">
        <v>14400</v>
      </c>
      <c r="I13" s="242">
        <v>41827</v>
      </c>
      <c r="J13" s="330">
        <v>41784</v>
      </c>
      <c r="K13" s="349">
        <v>44798</v>
      </c>
      <c r="L13" s="349">
        <v>45407</v>
      </c>
      <c r="M13" s="239">
        <v>100</v>
      </c>
      <c r="N13" s="246">
        <v>47</v>
      </c>
      <c r="O13" s="246">
        <v>53</v>
      </c>
      <c r="P13" s="246">
        <v>0</v>
      </c>
      <c r="R13" s="245">
        <v>1224000</v>
      </c>
      <c r="S13" s="245">
        <v>376000</v>
      </c>
      <c r="T13" s="245">
        <v>848000</v>
      </c>
      <c r="U13" s="245">
        <v>0</v>
      </c>
    </row>
    <row r="14" spans="1:22" s="78" customFormat="1" ht="15.75" x14ac:dyDescent="0.25">
      <c r="A14" s="155">
        <v>60</v>
      </c>
      <c r="B14" s="96" t="s">
        <v>164</v>
      </c>
      <c r="C14" s="94" t="s">
        <v>628</v>
      </c>
      <c r="D14" s="371" t="s">
        <v>929</v>
      </c>
      <c r="E14" s="87" t="s">
        <v>18</v>
      </c>
      <c r="F14" s="88">
        <v>16000</v>
      </c>
      <c r="G14" s="88">
        <v>1600</v>
      </c>
      <c r="H14" s="88">
        <v>14400</v>
      </c>
      <c r="I14" s="89">
        <v>41891</v>
      </c>
      <c r="J14" s="328">
        <v>41892</v>
      </c>
      <c r="K14" s="347">
        <v>44905</v>
      </c>
      <c r="L14" s="361">
        <v>45514</v>
      </c>
      <c r="M14" s="90">
        <v>100</v>
      </c>
      <c r="N14" s="91">
        <v>59</v>
      </c>
      <c r="O14" s="91">
        <v>41</v>
      </c>
      <c r="P14" s="91">
        <v>0</v>
      </c>
      <c r="Q14" s="80"/>
      <c r="R14" s="92">
        <v>1688500</v>
      </c>
      <c r="S14" s="93">
        <v>1032500</v>
      </c>
      <c r="T14" s="93">
        <v>700500</v>
      </c>
      <c r="U14" s="92">
        <v>0</v>
      </c>
    </row>
    <row r="15" spans="1:22" s="2" customFormat="1" ht="15.75" x14ac:dyDescent="0.25">
      <c r="A15" s="239">
        <v>62</v>
      </c>
      <c r="B15" s="159" t="s">
        <v>172</v>
      </c>
      <c r="C15" s="240" t="s">
        <v>630</v>
      </c>
      <c r="D15" s="240"/>
      <c r="E15" s="241" t="s">
        <v>30</v>
      </c>
      <c r="F15" s="241">
        <v>16000</v>
      </c>
      <c r="G15" s="241">
        <v>1600</v>
      </c>
      <c r="H15" s="241">
        <v>14400</v>
      </c>
      <c r="I15" s="242">
        <v>42010</v>
      </c>
      <c r="J15" s="330">
        <v>42029</v>
      </c>
      <c r="K15" s="349">
        <v>45041</v>
      </c>
      <c r="L15" s="349">
        <v>45651</v>
      </c>
      <c r="M15" s="239">
        <v>100</v>
      </c>
      <c r="N15" s="243">
        <v>0</v>
      </c>
      <c r="O15" s="243">
        <v>99</v>
      </c>
      <c r="P15" s="243">
        <v>99</v>
      </c>
      <c r="R15" s="241">
        <v>1600000</v>
      </c>
      <c r="S15" s="241">
        <v>0</v>
      </c>
      <c r="T15" s="241">
        <v>1584000</v>
      </c>
      <c r="U15" s="241">
        <v>16000</v>
      </c>
    </row>
    <row r="16" spans="1:22" s="2" customFormat="1" ht="15.75" x14ac:dyDescent="0.25">
      <c r="A16" s="239">
        <v>64</v>
      </c>
      <c r="B16" s="159" t="s">
        <v>182</v>
      </c>
      <c r="C16" s="240" t="s">
        <v>632</v>
      </c>
      <c r="D16" s="240" t="s">
        <v>929</v>
      </c>
      <c r="E16" s="241" t="s">
        <v>30</v>
      </c>
      <c r="F16" s="241">
        <v>16000</v>
      </c>
      <c r="G16" s="241">
        <v>1600</v>
      </c>
      <c r="H16" s="241">
        <v>14400</v>
      </c>
      <c r="I16" s="242">
        <v>41865</v>
      </c>
      <c r="J16" s="330">
        <v>41937</v>
      </c>
      <c r="K16" s="349">
        <v>44951</v>
      </c>
      <c r="L16" s="349">
        <v>45560</v>
      </c>
      <c r="M16" s="239">
        <v>100</v>
      </c>
      <c r="N16" s="246">
        <v>57</v>
      </c>
      <c r="O16" s="246">
        <v>43</v>
      </c>
      <c r="P16" s="246">
        <v>0</v>
      </c>
      <c r="Q16" s="80"/>
      <c r="R16" s="245">
        <v>1714000</v>
      </c>
      <c r="S16" s="245">
        <v>1026000</v>
      </c>
      <c r="T16" s="245">
        <v>688000</v>
      </c>
      <c r="U16" s="245">
        <v>0</v>
      </c>
    </row>
    <row r="17" spans="1:22" s="78" customFormat="1" ht="15.75" x14ac:dyDescent="0.25">
      <c r="A17" s="155">
        <v>66</v>
      </c>
      <c r="B17" s="96" t="s">
        <v>190</v>
      </c>
      <c r="C17" s="99" t="s">
        <v>633</v>
      </c>
      <c r="D17" s="373" t="s">
        <v>929</v>
      </c>
      <c r="E17" s="87" t="s">
        <v>18</v>
      </c>
      <c r="F17" s="88">
        <v>16000</v>
      </c>
      <c r="G17" s="88">
        <v>1600</v>
      </c>
      <c r="H17" s="88">
        <v>14400</v>
      </c>
      <c r="I17" s="89">
        <v>41856</v>
      </c>
      <c r="J17" s="328">
        <v>41892</v>
      </c>
      <c r="K17" s="347">
        <v>44905</v>
      </c>
      <c r="L17" s="361">
        <v>45514</v>
      </c>
      <c r="M17" s="90">
        <v>100</v>
      </c>
      <c r="N17" s="91">
        <v>57</v>
      </c>
      <c r="O17" s="91">
        <v>43</v>
      </c>
      <c r="P17" s="91">
        <v>0</v>
      </c>
      <c r="Q17" s="80"/>
      <c r="R17" s="92">
        <v>1714000</v>
      </c>
      <c r="S17" s="93">
        <v>1026000</v>
      </c>
      <c r="T17" s="93">
        <v>688000</v>
      </c>
      <c r="U17" s="92">
        <v>0</v>
      </c>
      <c r="V17" s="2"/>
    </row>
    <row r="18" spans="1:22" s="78" customFormat="1" ht="15.75" x14ac:dyDescent="0.25">
      <c r="A18" s="239">
        <v>67</v>
      </c>
      <c r="B18" s="159" t="s">
        <v>195</v>
      </c>
      <c r="C18" s="240" t="s">
        <v>634</v>
      </c>
      <c r="D18" s="240" t="s">
        <v>929</v>
      </c>
      <c r="E18" s="241" t="s">
        <v>30</v>
      </c>
      <c r="F18" s="241">
        <v>16000</v>
      </c>
      <c r="G18" s="241">
        <v>1600</v>
      </c>
      <c r="H18" s="241">
        <v>14400</v>
      </c>
      <c r="I18" s="242">
        <v>41883</v>
      </c>
      <c r="J18" s="330">
        <v>41876</v>
      </c>
      <c r="K18" s="349">
        <v>44890</v>
      </c>
      <c r="L18" s="349">
        <v>45498</v>
      </c>
      <c r="M18" s="239">
        <v>100</v>
      </c>
      <c r="N18" s="246">
        <v>58</v>
      </c>
      <c r="O18" s="246">
        <v>0</v>
      </c>
      <c r="P18" s="246">
        <v>42</v>
      </c>
      <c r="Q18" s="80"/>
      <c r="R18" s="245">
        <v>1890000</v>
      </c>
      <c r="S18" s="245">
        <v>1218000</v>
      </c>
      <c r="T18" s="245">
        <v>0</v>
      </c>
      <c r="U18" s="245">
        <v>672000</v>
      </c>
    </row>
    <row r="19" spans="1:22" s="78" customFormat="1" ht="15.75" x14ac:dyDescent="0.25">
      <c r="A19" s="208">
        <v>71</v>
      </c>
      <c r="B19" s="209" t="s">
        <v>211</v>
      </c>
      <c r="C19" s="99" t="s">
        <v>638</v>
      </c>
      <c r="D19" s="373" t="s">
        <v>929</v>
      </c>
      <c r="E19" s="210" t="s">
        <v>18</v>
      </c>
      <c r="F19" s="505" t="s">
        <v>979</v>
      </c>
      <c r="G19" s="211">
        <v>1600</v>
      </c>
      <c r="H19" s="211">
        <v>14400</v>
      </c>
      <c r="I19" s="212">
        <v>41780</v>
      </c>
      <c r="J19" s="326">
        <v>41800</v>
      </c>
      <c r="K19" s="345">
        <v>44814</v>
      </c>
      <c r="L19" s="359">
        <v>45422</v>
      </c>
      <c r="M19" s="213">
        <v>100</v>
      </c>
      <c r="N19" s="214">
        <v>0</v>
      </c>
      <c r="O19" s="214">
        <v>100</v>
      </c>
      <c r="P19" s="214">
        <v>0</v>
      </c>
      <c r="Q19" s="80"/>
      <c r="R19" s="215">
        <v>1600000</v>
      </c>
      <c r="S19" s="216">
        <v>0</v>
      </c>
      <c r="T19" s="216">
        <v>1600000</v>
      </c>
      <c r="U19" s="215">
        <v>0</v>
      </c>
    </row>
    <row r="20" spans="1:22" s="78" customFormat="1" ht="15.75" x14ac:dyDescent="0.25">
      <c r="A20" s="208">
        <v>72</v>
      </c>
      <c r="B20" s="226" t="s">
        <v>214</v>
      </c>
      <c r="C20" s="99" t="s">
        <v>639</v>
      </c>
      <c r="D20" s="373" t="s">
        <v>929</v>
      </c>
      <c r="E20" s="210" t="s">
        <v>18</v>
      </c>
      <c r="F20" s="211">
        <v>16000</v>
      </c>
      <c r="G20" s="211">
        <v>1600</v>
      </c>
      <c r="H20" s="211">
        <v>14400</v>
      </c>
      <c r="I20" s="212">
        <v>41921</v>
      </c>
      <c r="J20" s="326">
        <v>41953</v>
      </c>
      <c r="K20" s="345">
        <v>44967</v>
      </c>
      <c r="L20" s="359">
        <v>45575</v>
      </c>
      <c r="M20" s="213">
        <v>100</v>
      </c>
      <c r="N20" s="214">
        <v>55</v>
      </c>
      <c r="O20" s="214">
        <v>45</v>
      </c>
      <c r="P20" s="214">
        <v>0</v>
      </c>
      <c r="Q20" s="2"/>
      <c r="R20" s="215">
        <v>1710000</v>
      </c>
      <c r="S20" s="216">
        <v>990000</v>
      </c>
      <c r="T20" s="216">
        <v>720000</v>
      </c>
      <c r="U20" s="215"/>
    </row>
    <row r="21" spans="1:22" s="78" customFormat="1" ht="15.75" x14ac:dyDescent="0.25">
      <c r="A21" s="208">
        <v>73</v>
      </c>
      <c r="B21" s="226" t="s">
        <v>219</v>
      </c>
      <c r="C21" s="99" t="s">
        <v>640</v>
      </c>
      <c r="D21" s="373" t="s">
        <v>929</v>
      </c>
      <c r="E21" s="210" t="s">
        <v>18</v>
      </c>
      <c r="F21" s="211">
        <v>16000</v>
      </c>
      <c r="G21" s="211">
        <v>1600</v>
      </c>
      <c r="H21" s="211">
        <v>14400</v>
      </c>
      <c r="I21" s="212">
        <v>41711</v>
      </c>
      <c r="J21" s="326">
        <v>41739</v>
      </c>
      <c r="K21" s="345">
        <v>44752</v>
      </c>
      <c r="L21" s="359">
        <v>45361</v>
      </c>
      <c r="M21" s="213">
        <v>100</v>
      </c>
      <c r="N21" s="214">
        <v>0</v>
      </c>
      <c r="O21" s="214">
        <v>100</v>
      </c>
      <c r="P21" s="214">
        <v>0</v>
      </c>
      <c r="Q21" s="80"/>
      <c r="R21" s="215">
        <v>1600000</v>
      </c>
      <c r="S21" s="216">
        <v>0</v>
      </c>
      <c r="T21" s="216">
        <v>1600000</v>
      </c>
      <c r="U21" s="215">
        <v>0</v>
      </c>
    </row>
    <row r="22" spans="1:22" s="80" customFormat="1" ht="15.75" x14ac:dyDescent="0.25">
      <c r="A22" s="155">
        <v>75</v>
      </c>
      <c r="B22" s="85" t="s">
        <v>226</v>
      </c>
      <c r="C22" s="99" t="s">
        <v>227</v>
      </c>
      <c r="D22" s="373" t="s">
        <v>929</v>
      </c>
      <c r="E22" s="87" t="s">
        <v>18</v>
      </c>
      <c r="F22" s="88">
        <v>22000</v>
      </c>
      <c r="G22" s="88">
        <v>2200</v>
      </c>
      <c r="H22" s="88">
        <v>19800</v>
      </c>
      <c r="I22" s="89">
        <v>42024</v>
      </c>
      <c r="J22" s="328">
        <v>42045</v>
      </c>
      <c r="K22" s="347">
        <v>45056</v>
      </c>
      <c r="L22" s="361">
        <v>45667</v>
      </c>
      <c r="M22" s="90">
        <v>100</v>
      </c>
      <c r="N22" s="91">
        <v>0</v>
      </c>
      <c r="O22" s="91">
        <v>99</v>
      </c>
      <c r="P22" s="91">
        <v>1</v>
      </c>
      <c r="Q22" s="2"/>
      <c r="R22" s="92">
        <v>2200000</v>
      </c>
      <c r="S22" s="93">
        <v>0</v>
      </c>
      <c r="T22" s="93">
        <v>2178000</v>
      </c>
      <c r="U22" s="92">
        <v>22000</v>
      </c>
    </row>
    <row r="23" spans="1:22" s="78" customFormat="1" ht="31.5" x14ac:dyDescent="0.25">
      <c r="A23" s="208">
        <v>78</v>
      </c>
      <c r="B23" s="209" t="s">
        <v>236</v>
      </c>
      <c r="C23" s="86" t="s">
        <v>643</v>
      </c>
      <c r="D23" s="368" t="s">
        <v>929</v>
      </c>
      <c r="E23" s="210" t="s">
        <v>18</v>
      </c>
      <c r="F23" s="211">
        <v>16000</v>
      </c>
      <c r="G23" s="211">
        <v>1600</v>
      </c>
      <c r="H23" s="211">
        <v>14400</v>
      </c>
      <c r="I23" s="212">
        <v>41758</v>
      </c>
      <c r="J23" s="326">
        <v>41800</v>
      </c>
      <c r="K23" s="345">
        <v>44814</v>
      </c>
      <c r="L23" s="359">
        <v>45422</v>
      </c>
      <c r="M23" s="213">
        <v>100</v>
      </c>
      <c r="N23" s="214">
        <v>0</v>
      </c>
      <c r="O23" s="214">
        <v>100</v>
      </c>
      <c r="P23" s="214">
        <v>0</v>
      </c>
      <c r="Q23" s="80"/>
      <c r="R23" s="215">
        <v>1600000</v>
      </c>
      <c r="S23" s="216">
        <v>0</v>
      </c>
      <c r="T23" s="216">
        <v>1600000</v>
      </c>
      <c r="U23" s="215">
        <v>0</v>
      </c>
    </row>
    <row r="24" spans="1:22" s="78" customFormat="1" ht="15.75" x14ac:dyDescent="0.25">
      <c r="A24" s="155">
        <v>79</v>
      </c>
      <c r="B24" s="96" t="s">
        <v>241</v>
      </c>
      <c r="C24" s="99" t="s">
        <v>632</v>
      </c>
      <c r="D24" s="373" t="s">
        <v>929</v>
      </c>
      <c r="E24" s="87" t="s">
        <v>18</v>
      </c>
      <c r="F24" s="88">
        <v>28500</v>
      </c>
      <c r="G24" s="88">
        <v>2850</v>
      </c>
      <c r="H24" s="88">
        <v>25650</v>
      </c>
      <c r="I24" s="89">
        <v>43671</v>
      </c>
      <c r="J24" s="328">
        <v>43656</v>
      </c>
      <c r="K24" s="347">
        <v>46670</v>
      </c>
      <c r="L24" s="361">
        <v>47279</v>
      </c>
      <c r="M24" s="90">
        <v>100</v>
      </c>
      <c r="N24" s="91">
        <v>0</v>
      </c>
      <c r="O24" s="91">
        <v>56</v>
      </c>
      <c r="P24" s="91">
        <v>44</v>
      </c>
      <c r="Q24" s="80"/>
      <c r="R24" s="92">
        <v>2850000</v>
      </c>
      <c r="S24" s="93">
        <v>0</v>
      </c>
      <c r="T24" s="93">
        <v>1596000</v>
      </c>
      <c r="U24" s="92">
        <v>1254000</v>
      </c>
    </row>
    <row r="25" spans="1:22" s="78" customFormat="1" ht="15.75" x14ac:dyDescent="0.25">
      <c r="A25" s="155">
        <v>83</v>
      </c>
      <c r="B25" s="96" t="s">
        <v>256</v>
      </c>
      <c r="C25" s="99" t="s">
        <v>647</v>
      </c>
      <c r="D25" s="373" t="s">
        <v>929</v>
      </c>
      <c r="E25" s="87" t="s">
        <v>18</v>
      </c>
      <c r="F25" s="88">
        <v>16000</v>
      </c>
      <c r="G25" s="88">
        <v>1600</v>
      </c>
      <c r="H25" s="88">
        <v>14400</v>
      </c>
      <c r="I25" s="89">
        <v>41827</v>
      </c>
      <c r="J25" s="328">
        <v>41861</v>
      </c>
      <c r="K25" s="347">
        <v>44875</v>
      </c>
      <c r="L25" s="361">
        <v>45483</v>
      </c>
      <c r="M25" s="90">
        <v>100</v>
      </c>
      <c r="N25" s="91">
        <v>58</v>
      </c>
      <c r="O25" s="91">
        <v>42</v>
      </c>
      <c r="P25" s="91">
        <v>0</v>
      </c>
      <c r="Q25" s="80"/>
      <c r="R25" s="92">
        <v>1716000</v>
      </c>
      <c r="S25" s="93">
        <v>1044000</v>
      </c>
      <c r="T25" s="93">
        <v>672000</v>
      </c>
      <c r="U25" s="92">
        <v>0</v>
      </c>
      <c r="V25" s="78" t="s">
        <v>945</v>
      </c>
    </row>
    <row r="26" spans="1:22" s="78" customFormat="1" ht="15.75" x14ac:dyDescent="0.25">
      <c r="A26" s="155">
        <v>84</v>
      </c>
      <c r="B26" s="96" t="s">
        <v>261</v>
      </c>
      <c r="C26" s="99" t="s">
        <v>648</v>
      </c>
      <c r="D26" s="373" t="s">
        <v>929</v>
      </c>
      <c r="E26" s="87" t="s">
        <v>18</v>
      </c>
      <c r="F26" s="88">
        <v>16000</v>
      </c>
      <c r="G26" s="88">
        <v>1600</v>
      </c>
      <c r="H26" s="88">
        <v>14400</v>
      </c>
      <c r="I26" s="89">
        <v>41851</v>
      </c>
      <c r="J26" s="328">
        <v>41861</v>
      </c>
      <c r="K26" s="347">
        <v>44875</v>
      </c>
      <c r="L26" s="361">
        <v>45483</v>
      </c>
      <c r="M26" s="90">
        <v>100</v>
      </c>
      <c r="N26" s="91">
        <v>58</v>
      </c>
      <c r="O26" s="91">
        <v>42</v>
      </c>
      <c r="P26" s="91">
        <v>0</v>
      </c>
      <c r="Q26" s="80"/>
      <c r="R26" s="92">
        <v>1716000</v>
      </c>
      <c r="S26" s="93">
        <v>1044000</v>
      </c>
      <c r="T26" s="93">
        <v>672000</v>
      </c>
      <c r="U26" s="92">
        <v>0</v>
      </c>
      <c r="V26" s="78" t="s">
        <v>945</v>
      </c>
    </row>
    <row r="27" spans="1:22" s="80" customFormat="1" ht="15.75" x14ac:dyDescent="0.25">
      <c r="A27" s="208">
        <v>87</v>
      </c>
      <c r="B27" s="226" t="s">
        <v>280</v>
      </c>
      <c r="C27" s="99" t="s">
        <v>650</v>
      </c>
      <c r="D27" s="373" t="s">
        <v>929</v>
      </c>
      <c r="E27" s="210" t="s">
        <v>18</v>
      </c>
      <c r="F27" s="211">
        <v>16000</v>
      </c>
      <c r="G27" s="211">
        <v>1600</v>
      </c>
      <c r="H27" s="211">
        <v>14400</v>
      </c>
      <c r="I27" s="212">
        <v>41711</v>
      </c>
      <c r="J27" s="326">
        <v>41769</v>
      </c>
      <c r="K27" s="345">
        <v>44783</v>
      </c>
      <c r="L27" s="359">
        <v>45392</v>
      </c>
      <c r="M27" s="213">
        <v>100</v>
      </c>
      <c r="N27" s="214">
        <v>0</v>
      </c>
      <c r="O27" s="214">
        <v>93</v>
      </c>
      <c r="P27" s="214">
        <v>7</v>
      </c>
      <c r="R27" s="215">
        <v>1600000</v>
      </c>
      <c r="S27" s="216">
        <v>0</v>
      </c>
      <c r="T27" s="216">
        <v>1488000</v>
      </c>
      <c r="U27" s="215">
        <v>112000</v>
      </c>
    </row>
    <row r="28" spans="1:22" s="78" customFormat="1" ht="15.75" x14ac:dyDescent="0.25">
      <c r="A28" s="208">
        <v>90</v>
      </c>
      <c r="B28" s="209" t="s">
        <v>295</v>
      </c>
      <c r="C28" s="99" t="s">
        <v>653</v>
      </c>
      <c r="D28" s="373" t="s">
        <v>929</v>
      </c>
      <c r="E28" s="210" t="s">
        <v>18</v>
      </c>
      <c r="F28" s="211">
        <v>16000</v>
      </c>
      <c r="G28" s="211">
        <v>1600</v>
      </c>
      <c r="H28" s="211">
        <v>14400</v>
      </c>
      <c r="I28" s="212">
        <v>41922</v>
      </c>
      <c r="J28" s="326">
        <v>42287</v>
      </c>
      <c r="K28" s="345">
        <v>44995</v>
      </c>
      <c r="L28" s="359">
        <v>45606</v>
      </c>
      <c r="M28" s="213">
        <v>90</v>
      </c>
      <c r="N28" s="237">
        <v>46</v>
      </c>
      <c r="O28" s="214">
        <v>44</v>
      </c>
      <c r="P28" s="214">
        <v>0</v>
      </c>
      <c r="Q28" s="2"/>
      <c r="R28" s="215">
        <v>1591800</v>
      </c>
      <c r="S28" s="216">
        <v>887800</v>
      </c>
      <c r="T28" s="216">
        <v>704000</v>
      </c>
      <c r="U28" s="215">
        <v>0</v>
      </c>
    </row>
    <row r="29" spans="1:22" s="79" customFormat="1" ht="15.75" x14ac:dyDescent="0.25">
      <c r="A29" s="155">
        <v>91</v>
      </c>
      <c r="B29" s="85" t="s">
        <v>298</v>
      </c>
      <c r="C29" s="98" t="s">
        <v>654</v>
      </c>
      <c r="D29" s="380" t="s">
        <v>929</v>
      </c>
      <c r="E29" s="97" t="s">
        <v>18</v>
      </c>
      <c r="F29" s="88">
        <v>22000</v>
      </c>
      <c r="G29" s="88">
        <v>2200</v>
      </c>
      <c r="H29" s="88">
        <v>19800</v>
      </c>
      <c r="I29" s="101">
        <v>42109</v>
      </c>
      <c r="J29" s="334">
        <v>42134</v>
      </c>
      <c r="K29" s="347">
        <v>45148</v>
      </c>
      <c r="L29" s="361">
        <v>45757</v>
      </c>
      <c r="M29" s="90">
        <v>100</v>
      </c>
      <c r="N29" s="91">
        <v>0</v>
      </c>
      <c r="O29" s="91">
        <v>86</v>
      </c>
      <c r="P29" s="91">
        <v>14</v>
      </c>
      <c r="Q29" s="100"/>
      <c r="R29" s="92">
        <v>2200000</v>
      </c>
      <c r="S29" s="93">
        <v>0</v>
      </c>
      <c r="T29" s="93">
        <v>1892000</v>
      </c>
      <c r="U29" s="92">
        <v>308000</v>
      </c>
    </row>
    <row r="30" spans="1:22" s="78" customFormat="1" ht="15.75" x14ac:dyDescent="0.25">
      <c r="A30" s="208">
        <v>92</v>
      </c>
      <c r="B30" s="226" t="s">
        <v>302</v>
      </c>
      <c r="C30" s="99" t="s">
        <v>655</v>
      </c>
      <c r="D30" s="373" t="s">
        <v>929</v>
      </c>
      <c r="E30" s="210" t="s">
        <v>18</v>
      </c>
      <c r="F30" s="211">
        <v>22000</v>
      </c>
      <c r="G30" s="211">
        <v>2200</v>
      </c>
      <c r="H30" s="211">
        <v>19800</v>
      </c>
      <c r="I30" s="212">
        <v>42342</v>
      </c>
      <c r="J30" s="326">
        <v>42379</v>
      </c>
      <c r="K30" s="345">
        <v>45392</v>
      </c>
      <c r="L30" s="359">
        <v>46001</v>
      </c>
      <c r="M30" s="213">
        <v>100</v>
      </c>
      <c r="N30" s="214">
        <v>0</v>
      </c>
      <c r="O30" s="214">
        <v>67.5</v>
      </c>
      <c r="P30" s="214">
        <v>32.5</v>
      </c>
      <c r="Q30" s="80"/>
      <c r="R30" s="215">
        <v>2200000</v>
      </c>
      <c r="S30" s="216">
        <v>0</v>
      </c>
      <c r="T30" s="216">
        <v>1485000</v>
      </c>
      <c r="U30" s="215">
        <v>715000</v>
      </c>
    </row>
    <row r="31" spans="1:22" s="78" customFormat="1" ht="15.75" x14ac:dyDescent="0.25">
      <c r="A31" s="155">
        <v>94</v>
      </c>
      <c r="B31" s="96" t="s">
        <v>309</v>
      </c>
      <c r="C31" s="99" t="s">
        <v>657</v>
      </c>
      <c r="D31" s="373" t="s">
        <v>929</v>
      </c>
      <c r="E31" s="87" t="s">
        <v>18</v>
      </c>
      <c r="F31" s="88">
        <v>16000</v>
      </c>
      <c r="G31" s="88">
        <v>1600</v>
      </c>
      <c r="H31" s="88">
        <v>14400</v>
      </c>
      <c r="I31" s="89">
        <v>41933</v>
      </c>
      <c r="J31" s="328">
        <v>41953</v>
      </c>
      <c r="K31" s="347">
        <v>44967</v>
      </c>
      <c r="L31" s="361">
        <v>45575</v>
      </c>
      <c r="M31" s="90">
        <v>100</v>
      </c>
      <c r="N31" s="95">
        <v>55</v>
      </c>
      <c r="O31" s="91">
        <v>45</v>
      </c>
      <c r="P31" s="91">
        <v>0</v>
      </c>
      <c r="Q31" s="80"/>
      <c r="R31" s="92">
        <v>1875000</v>
      </c>
      <c r="S31" s="93">
        <v>1155000</v>
      </c>
      <c r="T31" s="93">
        <v>720000</v>
      </c>
      <c r="U31" s="92">
        <v>0</v>
      </c>
    </row>
    <row r="32" spans="1:22" s="78" customFormat="1" ht="15.75" x14ac:dyDescent="0.25">
      <c r="A32" s="208">
        <v>98</v>
      </c>
      <c r="B32" s="226" t="s">
        <v>322</v>
      </c>
      <c r="C32" s="99" t="s">
        <v>660</v>
      </c>
      <c r="D32" s="373" t="s">
        <v>929</v>
      </c>
      <c r="E32" s="210" t="s">
        <v>18</v>
      </c>
      <c r="F32" s="211">
        <v>16000</v>
      </c>
      <c r="G32" s="211">
        <v>1600</v>
      </c>
      <c r="H32" s="211">
        <v>14400</v>
      </c>
      <c r="I32" s="212">
        <v>41865</v>
      </c>
      <c r="J32" s="326">
        <v>41892</v>
      </c>
      <c r="K32" s="345">
        <v>44905</v>
      </c>
      <c r="L32" s="359">
        <v>45514</v>
      </c>
      <c r="M32" s="213">
        <v>100</v>
      </c>
      <c r="N32" s="237">
        <v>57</v>
      </c>
      <c r="O32" s="214">
        <v>43</v>
      </c>
      <c r="P32" s="214">
        <v>0</v>
      </c>
      <c r="Q32" s="80"/>
      <c r="R32" s="215">
        <v>1714000</v>
      </c>
      <c r="S32" s="216">
        <v>1026000</v>
      </c>
      <c r="T32" s="216">
        <v>688000</v>
      </c>
      <c r="U32" s="215">
        <v>0</v>
      </c>
    </row>
    <row r="33" spans="1:22" s="2" customFormat="1" ht="31.5" x14ac:dyDescent="0.25">
      <c r="A33" s="239">
        <v>99</v>
      </c>
      <c r="B33" s="159" t="s">
        <v>325</v>
      </c>
      <c r="C33" s="244" t="s">
        <v>717</v>
      </c>
      <c r="D33" s="244" t="s">
        <v>929</v>
      </c>
      <c r="E33" s="241" t="s">
        <v>30</v>
      </c>
      <c r="F33" s="241">
        <v>16000</v>
      </c>
      <c r="G33" s="241">
        <v>1600</v>
      </c>
      <c r="H33" s="241">
        <v>14400</v>
      </c>
      <c r="I33" s="242">
        <v>41928</v>
      </c>
      <c r="J33" s="330">
        <v>41968</v>
      </c>
      <c r="K33" s="349">
        <v>44982</v>
      </c>
      <c r="L33" s="349">
        <v>45590</v>
      </c>
      <c r="M33" s="239">
        <v>100</v>
      </c>
      <c r="N33" s="246">
        <v>55</v>
      </c>
      <c r="O33" s="246">
        <v>45</v>
      </c>
      <c r="P33" s="246">
        <v>0</v>
      </c>
      <c r="R33" s="245">
        <v>1710000</v>
      </c>
      <c r="S33" s="245">
        <v>990000</v>
      </c>
      <c r="T33" s="245">
        <v>720000</v>
      </c>
      <c r="U33" s="245">
        <v>0</v>
      </c>
    </row>
    <row r="34" spans="1:22" s="78" customFormat="1" ht="15.75" x14ac:dyDescent="0.25">
      <c r="A34" s="208">
        <v>101</v>
      </c>
      <c r="B34" s="226" t="s">
        <v>333</v>
      </c>
      <c r="C34" s="99" t="s">
        <v>662</v>
      </c>
      <c r="D34" s="373" t="s">
        <v>929</v>
      </c>
      <c r="E34" s="210" t="s">
        <v>18</v>
      </c>
      <c r="F34" s="211">
        <v>16000</v>
      </c>
      <c r="G34" s="211">
        <v>1600</v>
      </c>
      <c r="H34" s="211">
        <v>14400</v>
      </c>
      <c r="I34" s="212">
        <v>41804</v>
      </c>
      <c r="J34" s="326">
        <v>41830</v>
      </c>
      <c r="K34" s="345">
        <v>44844</v>
      </c>
      <c r="L34" s="359">
        <v>45453</v>
      </c>
      <c r="M34" s="213">
        <v>100</v>
      </c>
      <c r="N34" s="237">
        <v>60</v>
      </c>
      <c r="O34" s="214">
        <v>40</v>
      </c>
      <c r="P34" s="214">
        <v>0</v>
      </c>
      <c r="Q34" s="80"/>
      <c r="R34" s="215">
        <v>1720000</v>
      </c>
      <c r="S34" s="216">
        <v>1062000</v>
      </c>
      <c r="T34" s="216">
        <v>648000</v>
      </c>
      <c r="U34" s="215">
        <v>0</v>
      </c>
    </row>
    <row r="35" spans="1:22" s="78" customFormat="1" ht="15.75" x14ac:dyDescent="0.25">
      <c r="A35" s="155">
        <v>104</v>
      </c>
      <c r="B35" s="96" t="s">
        <v>343</v>
      </c>
      <c r="C35" s="99" t="s">
        <v>664</v>
      </c>
      <c r="D35" s="373" t="s">
        <v>929</v>
      </c>
      <c r="E35" s="87" t="s">
        <v>18</v>
      </c>
      <c r="F35" s="88">
        <v>20000</v>
      </c>
      <c r="G35" s="88">
        <v>2000</v>
      </c>
      <c r="H35" s="88">
        <v>18000</v>
      </c>
      <c r="I35" s="89">
        <v>42111</v>
      </c>
      <c r="J35" s="328">
        <v>42134</v>
      </c>
      <c r="K35" s="347">
        <v>45148</v>
      </c>
      <c r="L35" s="361">
        <v>45757</v>
      </c>
      <c r="M35" s="90">
        <v>100</v>
      </c>
      <c r="N35" s="91">
        <v>0</v>
      </c>
      <c r="O35" s="91">
        <v>0</v>
      </c>
      <c r="P35" s="91">
        <v>100</v>
      </c>
      <c r="Q35" s="2"/>
      <c r="R35" s="92">
        <v>2000000</v>
      </c>
      <c r="S35" s="93">
        <v>0</v>
      </c>
      <c r="T35" s="93">
        <v>0</v>
      </c>
      <c r="U35" s="92">
        <v>2000000</v>
      </c>
    </row>
    <row r="36" spans="1:22" s="78" customFormat="1" ht="15.75" x14ac:dyDescent="0.25">
      <c r="A36" s="155">
        <v>105</v>
      </c>
      <c r="B36" s="96" t="s">
        <v>347</v>
      </c>
      <c r="C36" s="99" t="s">
        <v>665</v>
      </c>
      <c r="D36" s="373" t="s">
        <v>929</v>
      </c>
      <c r="E36" s="87" t="s">
        <v>18</v>
      </c>
      <c r="F36" s="88">
        <v>16000</v>
      </c>
      <c r="G36" s="88">
        <v>1600</v>
      </c>
      <c r="H36" s="88">
        <v>14400</v>
      </c>
      <c r="I36" s="89">
        <v>41883</v>
      </c>
      <c r="J36" s="328">
        <v>41922</v>
      </c>
      <c r="K36" s="347">
        <v>44936</v>
      </c>
      <c r="L36" s="361">
        <v>45545</v>
      </c>
      <c r="M36" s="90">
        <v>100</v>
      </c>
      <c r="N36" s="95">
        <v>56</v>
      </c>
      <c r="O36" s="91">
        <v>44</v>
      </c>
      <c r="P36" s="91">
        <v>0</v>
      </c>
      <c r="Q36" s="80"/>
      <c r="R36" s="92">
        <v>2000000</v>
      </c>
      <c r="S36" s="93">
        <v>1008000</v>
      </c>
      <c r="T36" s="93">
        <v>992000</v>
      </c>
      <c r="U36" s="92">
        <v>0</v>
      </c>
    </row>
    <row r="37" spans="1:22" s="80" customFormat="1" ht="15.75" x14ac:dyDescent="0.25">
      <c r="A37" s="155">
        <v>106</v>
      </c>
      <c r="B37" s="85" t="s">
        <v>351</v>
      </c>
      <c r="C37" s="94" t="s">
        <v>666</v>
      </c>
      <c r="D37" s="371" t="s">
        <v>929</v>
      </c>
      <c r="E37" s="87" t="s">
        <v>18</v>
      </c>
      <c r="F37" s="88">
        <v>16000</v>
      </c>
      <c r="G37" s="88">
        <v>1600</v>
      </c>
      <c r="H37" s="88">
        <v>14400</v>
      </c>
      <c r="I37" s="89">
        <v>41711</v>
      </c>
      <c r="J37" s="328">
        <v>41769</v>
      </c>
      <c r="K37" s="347">
        <v>44783</v>
      </c>
      <c r="L37" s="361">
        <v>45392</v>
      </c>
      <c r="M37" s="90">
        <v>100</v>
      </c>
      <c r="N37" s="91">
        <v>0</v>
      </c>
      <c r="O37" s="91">
        <v>100</v>
      </c>
      <c r="P37" s="91">
        <v>0</v>
      </c>
      <c r="R37" s="92">
        <v>1600000</v>
      </c>
      <c r="S37" s="93">
        <v>0</v>
      </c>
      <c r="T37" s="93">
        <v>1600000</v>
      </c>
      <c r="U37" s="92">
        <v>0</v>
      </c>
    </row>
    <row r="38" spans="1:22" s="78" customFormat="1" ht="15.75" x14ac:dyDescent="0.25">
      <c r="A38" s="208">
        <v>112</v>
      </c>
      <c r="B38" s="226" t="s">
        <v>376</v>
      </c>
      <c r="C38" s="99" t="s">
        <v>671</v>
      </c>
      <c r="D38" s="373" t="s">
        <v>929</v>
      </c>
      <c r="E38" s="210" t="s">
        <v>18</v>
      </c>
      <c r="F38" s="211">
        <v>16000</v>
      </c>
      <c r="G38" s="211">
        <v>1600</v>
      </c>
      <c r="H38" s="211">
        <v>14400</v>
      </c>
      <c r="I38" s="212">
        <v>41814</v>
      </c>
      <c r="J38" s="326">
        <v>41830</v>
      </c>
      <c r="K38" s="345">
        <v>44844</v>
      </c>
      <c r="L38" s="359">
        <v>45453</v>
      </c>
      <c r="M38" s="213">
        <v>100</v>
      </c>
      <c r="N38" s="237">
        <v>59</v>
      </c>
      <c r="O38" s="214">
        <v>41</v>
      </c>
      <c r="P38" s="214">
        <v>0</v>
      </c>
      <c r="Q38" s="80"/>
      <c r="R38" s="215">
        <v>1718000</v>
      </c>
      <c r="S38" s="216">
        <v>1062000</v>
      </c>
      <c r="T38" s="216">
        <v>656000</v>
      </c>
      <c r="U38" s="215">
        <v>0</v>
      </c>
    </row>
    <row r="39" spans="1:22" s="78" customFormat="1" ht="15.75" x14ac:dyDescent="0.25">
      <c r="A39" s="208"/>
      <c r="B39" s="226" t="s">
        <v>381</v>
      </c>
      <c r="C39" s="99" t="s">
        <v>672</v>
      </c>
      <c r="D39" s="373"/>
      <c r="E39" s="210" t="s">
        <v>18</v>
      </c>
      <c r="F39" s="211">
        <v>16000</v>
      </c>
      <c r="G39" s="211">
        <v>1600</v>
      </c>
      <c r="H39" s="211">
        <v>14400</v>
      </c>
      <c r="I39" s="212">
        <v>41830</v>
      </c>
      <c r="J39" s="326">
        <v>41861</v>
      </c>
      <c r="K39" s="345">
        <v>44875</v>
      </c>
      <c r="L39" s="359">
        <v>45483</v>
      </c>
      <c r="M39" s="213">
        <v>100</v>
      </c>
      <c r="N39" s="237">
        <v>100</v>
      </c>
      <c r="O39" s="214">
        <v>0</v>
      </c>
      <c r="P39" s="214">
        <v>0</v>
      </c>
      <c r="Q39" s="80"/>
      <c r="R39" s="215">
        <v>1600000</v>
      </c>
      <c r="S39" s="216">
        <v>0</v>
      </c>
      <c r="T39" s="216">
        <v>0</v>
      </c>
      <c r="U39" s="215"/>
    </row>
    <row r="40" spans="1:22" s="80" customFormat="1" ht="15.75" x14ac:dyDescent="0.25">
      <c r="A40" s="155">
        <v>114</v>
      </c>
      <c r="B40" s="85" t="s">
        <v>386</v>
      </c>
      <c r="C40" s="99" t="s">
        <v>673</v>
      </c>
      <c r="D40" s="373" t="s">
        <v>960</v>
      </c>
      <c r="E40" s="87" t="s">
        <v>18</v>
      </c>
      <c r="F40" s="88">
        <v>16000</v>
      </c>
      <c r="G40" s="88">
        <v>1600</v>
      </c>
      <c r="H40" s="88">
        <v>14400</v>
      </c>
      <c r="I40" s="89">
        <v>41890</v>
      </c>
      <c r="J40" s="328">
        <v>41922</v>
      </c>
      <c r="K40" s="347">
        <v>44936</v>
      </c>
      <c r="L40" s="361">
        <v>45545</v>
      </c>
      <c r="M40" s="90">
        <v>100</v>
      </c>
      <c r="N40" s="95">
        <v>56</v>
      </c>
      <c r="O40" s="91">
        <v>18</v>
      </c>
      <c r="P40" s="91">
        <v>26</v>
      </c>
      <c r="R40" s="92">
        <v>1712000</v>
      </c>
      <c r="S40" s="93">
        <v>1008000</v>
      </c>
      <c r="T40" s="93">
        <v>288000</v>
      </c>
      <c r="U40" s="92">
        <v>416000</v>
      </c>
      <c r="V40" s="80" t="s">
        <v>959</v>
      </c>
    </row>
    <row r="41" spans="1:22" s="2" customFormat="1" ht="15.75" x14ac:dyDescent="0.25">
      <c r="A41" s="239">
        <v>115</v>
      </c>
      <c r="B41" s="159" t="s">
        <v>389</v>
      </c>
      <c r="C41" s="240" t="s">
        <v>674</v>
      </c>
      <c r="D41" s="240" t="s">
        <v>929</v>
      </c>
      <c r="E41" s="241" t="s">
        <v>30</v>
      </c>
      <c r="F41" s="241">
        <v>16000</v>
      </c>
      <c r="G41" s="241">
        <v>1600</v>
      </c>
      <c r="H41" s="241">
        <v>14400</v>
      </c>
      <c r="I41" s="242">
        <v>41926</v>
      </c>
      <c r="J41" s="330">
        <v>41998</v>
      </c>
      <c r="K41" s="349">
        <v>45010</v>
      </c>
      <c r="L41" s="349">
        <v>45621</v>
      </c>
      <c r="M41" s="239">
        <v>100</v>
      </c>
      <c r="N41" s="246">
        <v>54</v>
      </c>
      <c r="O41" s="246">
        <v>46</v>
      </c>
      <c r="P41" s="246">
        <v>0</v>
      </c>
      <c r="R41" s="245">
        <v>1708000</v>
      </c>
      <c r="S41" s="245">
        <v>972000</v>
      </c>
      <c r="T41" s="245">
        <v>736000</v>
      </c>
      <c r="U41" s="245">
        <v>0</v>
      </c>
    </row>
    <row r="42" spans="1:22" s="2" customFormat="1" ht="15.75" x14ac:dyDescent="0.25">
      <c r="A42" s="239"/>
      <c r="B42" s="159" t="s">
        <v>397</v>
      </c>
      <c r="C42" s="240" t="s">
        <v>676</v>
      </c>
      <c r="D42" s="240"/>
      <c r="E42" s="241" t="s">
        <v>30</v>
      </c>
      <c r="F42" s="241">
        <v>22000</v>
      </c>
      <c r="G42" s="241">
        <v>2200</v>
      </c>
      <c r="H42" s="241">
        <v>19800</v>
      </c>
      <c r="I42" s="242">
        <v>42149</v>
      </c>
      <c r="J42" s="330">
        <v>42180</v>
      </c>
      <c r="K42" s="349">
        <v>45194</v>
      </c>
      <c r="L42" s="349">
        <v>45802</v>
      </c>
      <c r="M42" s="239">
        <v>100</v>
      </c>
      <c r="N42" s="246">
        <v>0</v>
      </c>
      <c r="O42" s="246">
        <v>100</v>
      </c>
      <c r="P42" s="246">
        <v>0</v>
      </c>
      <c r="Q42" s="80"/>
      <c r="R42" s="245">
        <v>2200000</v>
      </c>
      <c r="S42" s="245">
        <v>0</v>
      </c>
      <c r="T42" s="245">
        <v>2200000</v>
      </c>
      <c r="U42" s="245">
        <v>0</v>
      </c>
    </row>
    <row r="43" spans="1:22" s="2" customFormat="1" ht="31.5" x14ac:dyDescent="0.25">
      <c r="A43" s="239">
        <v>119</v>
      </c>
      <c r="B43" s="159" t="s">
        <v>406</v>
      </c>
      <c r="C43" s="240" t="s">
        <v>678</v>
      </c>
      <c r="D43" s="240" t="s">
        <v>929</v>
      </c>
      <c r="E43" s="241" t="s">
        <v>30</v>
      </c>
      <c r="F43" s="241">
        <v>22000</v>
      </c>
      <c r="G43" s="241">
        <v>2200</v>
      </c>
      <c r="H43" s="241">
        <v>19800</v>
      </c>
      <c r="I43" s="242">
        <v>42356</v>
      </c>
      <c r="J43" s="330">
        <v>42394</v>
      </c>
      <c r="K43" s="349">
        <v>45407</v>
      </c>
      <c r="L43" s="349">
        <v>46016</v>
      </c>
      <c r="M43" s="239">
        <v>100</v>
      </c>
      <c r="N43" s="246">
        <v>0</v>
      </c>
      <c r="O43" s="246">
        <v>95</v>
      </c>
      <c r="P43" s="246">
        <v>5</v>
      </c>
      <c r="Q43" s="80"/>
      <c r="R43" s="245">
        <v>2200000</v>
      </c>
      <c r="S43" s="245">
        <v>0</v>
      </c>
      <c r="T43" s="245">
        <v>2090000</v>
      </c>
      <c r="U43" s="245">
        <v>110000</v>
      </c>
    </row>
    <row r="44" spans="1:22" s="2" customFormat="1" ht="15.75" x14ac:dyDescent="0.25">
      <c r="A44" s="239">
        <v>125</v>
      </c>
      <c r="B44" s="159" t="s">
        <v>434</v>
      </c>
      <c r="C44" s="240" t="s">
        <v>683</v>
      </c>
      <c r="D44" s="240" t="s">
        <v>929</v>
      </c>
      <c r="E44" s="241" t="s">
        <v>30</v>
      </c>
      <c r="F44" s="241">
        <v>16000</v>
      </c>
      <c r="G44" s="241">
        <v>1600</v>
      </c>
      <c r="H44" s="241">
        <v>14400</v>
      </c>
      <c r="I44" s="242">
        <v>41912</v>
      </c>
      <c r="J44" s="330">
        <v>41937</v>
      </c>
      <c r="K44" s="349">
        <v>44951</v>
      </c>
      <c r="L44" s="349">
        <v>45560</v>
      </c>
      <c r="M44" s="239">
        <v>100</v>
      </c>
      <c r="N44" s="246">
        <v>45</v>
      </c>
      <c r="O44" s="246">
        <v>55</v>
      </c>
      <c r="P44" s="246">
        <v>0</v>
      </c>
      <c r="Q44" s="80"/>
      <c r="R44" s="245">
        <v>1690000</v>
      </c>
      <c r="S44" s="245">
        <v>810000</v>
      </c>
      <c r="T44" s="245">
        <v>816000</v>
      </c>
      <c r="U44" s="245" t="s">
        <v>790</v>
      </c>
    </row>
    <row r="45" spans="1:22" s="78" customFormat="1" ht="15.75" x14ac:dyDescent="0.25">
      <c r="A45" s="208">
        <v>126</v>
      </c>
      <c r="B45" s="226" t="s">
        <v>437</v>
      </c>
      <c r="C45" s="99" t="s">
        <v>684</v>
      </c>
      <c r="D45" s="373" t="s">
        <v>929</v>
      </c>
      <c r="E45" s="210" t="s">
        <v>18</v>
      </c>
      <c r="F45" s="211">
        <v>16000</v>
      </c>
      <c r="G45" s="211">
        <v>1600</v>
      </c>
      <c r="H45" s="211">
        <v>14400</v>
      </c>
      <c r="I45" s="212">
        <v>41900</v>
      </c>
      <c r="J45" s="326">
        <v>41922</v>
      </c>
      <c r="K45" s="345">
        <v>44936</v>
      </c>
      <c r="L45" s="359">
        <v>45545</v>
      </c>
      <c r="M45" s="213">
        <v>100</v>
      </c>
      <c r="N45" s="237">
        <v>58</v>
      </c>
      <c r="O45" s="214">
        <v>42</v>
      </c>
      <c r="P45" s="214">
        <v>0</v>
      </c>
      <c r="Q45" s="80"/>
      <c r="R45" s="215">
        <v>1716000</v>
      </c>
      <c r="S45" s="216">
        <v>1044000</v>
      </c>
      <c r="T45" s="216">
        <v>672000</v>
      </c>
      <c r="U45" s="215">
        <v>0</v>
      </c>
    </row>
    <row r="46" spans="1:22" s="78" customFormat="1" ht="31.5" x14ac:dyDescent="0.25">
      <c r="A46" s="394">
        <v>133</v>
      </c>
      <c r="B46" s="159" t="s">
        <v>467</v>
      </c>
      <c r="C46" s="240" t="s">
        <v>688</v>
      </c>
      <c r="D46" s="240" t="s">
        <v>929</v>
      </c>
      <c r="E46" s="241" t="s">
        <v>30</v>
      </c>
      <c r="F46" s="241">
        <v>16000</v>
      </c>
      <c r="G46" s="241">
        <v>1600</v>
      </c>
      <c r="H46" s="241">
        <v>14400</v>
      </c>
      <c r="I46" s="242">
        <v>41819</v>
      </c>
      <c r="J46" s="330">
        <v>41876</v>
      </c>
      <c r="K46" s="349">
        <v>44890</v>
      </c>
      <c r="L46" s="349">
        <v>45498</v>
      </c>
      <c r="M46" s="239">
        <v>100</v>
      </c>
      <c r="N46" s="246">
        <v>61</v>
      </c>
      <c r="O46" s="246">
        <v>39</v>
      </c>
      <c r="P46" s="246">
        <v>0</v>
      </c>
      <c r="Q46" s="80"/>
      <c r="R46" s="245">
        <v>1722000</v>
      </c>
      <c r="S46" s="245">
        <v>1098000</v>
      </c>
      <c r="T46" s="245">
        <v>624000</v>
      </c>
      <c r="U46" s="245">
        <v>0</v>
      </c>
    </row>
    <row r="47" spans="1:22" s="80" customFormat="1" ht="15.75" x14ac:dyDescent="0.25">
      <c r="A47" s="155">
        <v>134</v>
      </c>
      <c r="B47" s="85" t="s">
        <v>472</v>
      </c>
      <c r="C47" s="99" t="s">
        <v>689</v>
      </c>
      <c r="D47" s="373" t="s">
        <v>929</v>
      </c>
      <c r="E47" s="87" t="s">
        <v>18</v>
      </c>
      <c r="F47" s="88">
        <v>16000</v>
      </c>
      <c r="G47" s="88">
        <v>1600</v>
      </c>
      <c r="H47" s="88">
        <v>14400</v>
      </c>
      <c r="I47" s="89">
        <v>41711</v>
      </c>
      <c r="J47" s="328">
        <v>41769</v>
      </c>
      <c r="K47" s="347">
        <v>44783</v>
      </c>
      <c r="L47" s="361">
        <v>45392</v>
      </c>
      <c r="M47" s="90">
        <v>100</v>
      </c>
      <c r="N47" s="91">
        <v>0</v>
      </c>
      <c r="O47" s="91">
        <v>100</v>
      </c>
      <c r="P47" s="91">
        <v>0</v>
      </c>
      <c r="R47" s="92">
        <v>1600000</v>
      </c>
      <c r="S47" s="93">
        <v>0</v>
      </c>
      <c r="T47" s="93">
        <v>1600000</v>
      </c>
      <c r="U47" s="92">
        <v>0</v>
      </c>
    </row>
    <row r="48" spans="1:22" s="78" customFormat="1" ht="15.75" x14ac:dyDescent="0.25">
      <c r="A48" s="155">
        <v>139</v>
      </c>
      <c r="B48" s="96" t="s">
        <v>494</v>
      </c>
      <c r="C48" s="94" t="s">
        <v>694</v>
      </c>
      <c r="D48" s="371" t="s">
        <v>929</v>
      </c>
      <c r="E48" s="87" t="s">
        <v>18</v>
      </c>
      <c r="F48" s="88">
        <v>16000</v>
      </c>
      <c r="G48" s="88">
        <v>1600</v>
      </c>
      <c r="H48" s="88">
        <v>14400</v>
      </c>
      <c r="I48" s="89">
        <v>41827</v>
      </c>
      <c r="J48" s="328">
        <v>41861</v>
      </c>
      <c r="K48" s="347">
        <v>44875</v>
      </c>
      <c r="L48" s="361">
        <v>45483</v>
      </c>
      <c r="M48" s="90">
        <v>100</v>
      </c>
      <c r="N48" s="95">
        <v>58</v>
      </c>
      <c r="O48" s="91">
        <v>42</v>
      </c>
      <c r="P48" s="91">
        <v>0</v>
      </c>
      <c r="Q48" s="80"/>
      <c r="R48" s="92">
        <v>1716000</v>
      </c>
      <c r="S48" s="93">
        <v>1044000</v>
      </c>
      <c r="T48" s="93">
        <v>672000</v>
      </c>
      <c r="U48" s="92">
        <v>0</v>
      </c>
    </row>
    <row r="49" spans="1:21" s="2" customFormat="1" ht="15.75" x14ac:dyDescent="0.25">
      <c r="A49" s="208">
        <v>143</v>
      </c>
      <c r="B49" s="226" t="s">
        <v>499</v>
      </c>
      <c r="C49" s="99" t="s">
        <v>696</v>
      </c>
      <c r="D49" s="373" t="s">
        <v>929</v>
      </c>
      <c r="E49" s="210" t="s">
        <v>18</v>
      </c>
      <c r="F49" s="211">
        <v>16000</v>
      </c>
      <c r="G49" s="211">
        <v>1600</v>
      </c>
      <c r="H49" s="211">
        <v>14400</v>
      </c>
      <c r="I49" s="212">
        <v>41586</v>
      </c>
      <c r="J49" s="326">
        <v>41618</v>
      </c>
      <c r="K49" s="345">
        <v>44630</v>
      </c>
      <c r="L49" s="359">
        <v>45240</v>
      </c>
      <c r="M49" s="213">
        <v>100</v>
      </c>
      <c r="N49" s="214">
        <v>0</v>
      </c>
      <c r="O49" s="214">
        <v>100</v>
      </c>
      <c r="P49" s="214">
        <v>0</v>
      </c>
      <c r="Q49" s="80"/>
      <c r="R49" s="215">
        <v>1600000</v>
      </c>
      <c r="S49" s="216">
        <v>0</v>
      </c>
      <c r="T49" s="216">
        <v>1600000</v>
      </c>
      <c r="U49" s="215">
        <v>0</v>
      </c>
    </row>
    <row r="50" spans="1:21" s="2" customFormat="1" ht="31.5" x14ac:dyDescent="0.25">
      <c r="A50" s="155">
        <v>146</v>
      </c>
      <c r="B50" s="96" t="s">
        <v>510</v>
      </c>
      <c r="C50" s="94" t="s">
        <v>698</v>
      </c>
      <c r="D50" s="371" t="s">
        <v>929</v>
      </c>
      <c r="E50" s="87" t="s">
        <v>18</v>
      </c>
      <c r="F50" s="88">
        <v>22000</v>
      </c>
      <c r="G50" s="88">
        <v>2200</v>
      </c>
      <c r="H50" s="88">
        <v>19800</v>
      </c>
      <c r="I50" s="89">
        <v>42084</v>
      </c>
      <c r="J50" s="328">
        <v>42104</v>
      </c>
      <c r="K50" s="347">
        <v>45117</v>
      </c>
      <c r="L50" s="361">
        <v>45726</v>
      </c>
      <c r="M50" s="90">
        <v>100</v>
      </c>
      <c r="N50" s="91">
        <v>0</v>
      </c>
      <c r="O50" s="91">
        <v>100</v>
      </c>
      <c r="P50" s="91">
        <v>0</v>
      </c>
      <c r="R50" s="92">
        <v>2200000</v>
      </c>
      <c r="S50" s="93">
        <v>0</v>
      </c>
      <c r="T50" s="93">
        <v>2200000</v>
      </c>
      <c r="U50" s="92">
        <v>0</v>
      </c>
    </row>
    <row r="51" spans="1:21" s="2" customFormat="1" ht="17.25" customHeight="1" x14ac:dyDescent="0.25">
      <c r="A51" s="208">
        <v>148</v>
      </c>
      <c r="B51" s="226" t="s">
        <v>517</v>
      </c>
      <c r="C51" s="99" t="s">
        <v>699</v>
      </c>
      <c r="D51" s="373" t="s">
        <v>929</v>
      </c>
      <c r="E51" s="210" t="s">
        <v>18</v>
      </c>
      <c r="F51" s="211">
        <v>22000</v>
      </c>
      <c r="G51" s="211">
        <v>2200</v>
      </c>
      <c r="H51" s="211">
        <v>19800</v>
      </c>
      <c r="I51" s="212">
        <v>42289</v>
      </c>
      <c r="J51" s="326">
        <v>42318</v>
      </c>
      <c r="K51" s="345">
        <v>45332</v>
      </c>
      <c r="L51" s="359">
        <v>45940</v>
      </c>
      <c r="M51" s="213">
        <v>100</v>
      </c>
      <c r="N51" s="214">
        <v>0</v>
      </c>
      <c r="O51" s="214">
        <v>100</v>
      </c>
      <c r="P51" s="214">
        <v>0</v>
      </c>
      <c r="Q51" s="80"/>
      <c r="R51" s="215">
        <v>2200000</v>
      </c>
      <c r="S51" s="216">
        <v>0</v>
      </c>
      <c r="T51" s="216">
        <v>2200000</v>
      </c>
      <c r="U51" s="215">
        <v>0</v>
      </c>
    </row>
    <row r="52" spans="1:21" s="2" customFormat="1" ht="15.75" x14ac:dyDescent="0.25">
      <c r="A52" s="208">
        <v>149</v>
      </c>
      <c r="B52" s="226" t="s">
        <v>522</v>
      </c>
      <c r="C52" s="99" t="s">
        <v>699</v>
      </c>
      <c r="D52" s="373" t="s">
        <v>929</v>
      </c>
      <c r="E52" s="210" t="s">
        <v>18</v>
      </c>
      <c r="F52" s="211">
        <v>22000</v>
      </c>
      <c r="G52" s="211">
        <v>2200</v>
      </c>
      <c r="H52" s="211">
        <v>19800</v>
      </c>
      <c r="I52" s="212">
        <v>42289</v>
      </c>
      <c r="J52" s="326">
        <v>42318</v>
      </c>
      <c r="K52" s="345">
        <v>45332</v>
      </c>
      <c r="L52" s="359">
        <v>45940</v>
      </c>
      <c r="M52" s="213">
        <v>100</v>
      </c>
      <c r="N52" s="214">
        <v>0</v>
      </c>
      <c r="O52" s="214">
        <v>100</v>
      </c>
      <c r="P52" s="214">
        <v>0</v>
      </c>
      <c r="Q52" s="80"/>
      <c r="R52" s="215">
        <v>2200000</v>
      </c>
      <c r="S52" s="216">
        <v>0</v>
      </c>
      <c r="T52" s="216">
        <v>2200000</v>
      </c>
      <c r="U52" s="215"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topLeftCell="A31" workbookViewId="0">
      <selection activeCell="W5" sqref="W5"/>
    </sheetView>
  </sheetViews>
  <sheetFormatPr defaultRowHeight="15" x14ac:dyDescent="0.25"/>
  <cols>
    <col min="1" max="1" width="7.140625" customWidth="1"/>
    <col min="2" max="2" width="11.7109375" customWidth="1"/>
    <col min="3" max="3" width="20.140625" customWidth="1"/>
    <col min="4" max="4" width="0" hidden="1" customWidth="1"/>
    <col min="5" max="5" width="9.42578125" hidden="1" customWidth="1"/>
    <col min="6" max="6" width="11.5703125" hidden="1" customWidth="1"/>
    <col min="7" max="7" width="13.7109375" customWidth="1"/>
    <col min="8" max="8" width="9.28515625" hidden="1" customWidth="1"/>
    <col min="9" max="9" width="12.42578125" hidden="1" customWidth="1"/>
    <col min="10" max="10" width="0" hidden="1" customWidth="1"/>
    <col min="11" max="11" width="9.28515625" hidden="1" customWidth="1"/>
    <col min="12" max="12" width="9.85546875" customWidth="1"/>
    <col min="13" max="13" width="10.7109375" bestFit="1" customWidth="1"/>
    <col min="14" max="14" width="9.7109375" customWidth="1"/>
    <col min="15" max="15" width="14.7109375" customWidth="1"/>
    <col min="16" max="16" width="15.85546875" customWidth="1"/>
    <col min="17" max="17" width="14.42578125" customWidth="1"/>
    <col min="18" max="18" width="17.140625" customWidth="1"/>
    <col min="19" max="19" width="13.5703125" customWidth="1"/>
    <col min="23" max="24" width="10.5703125" bestFit="1" customWidth="1"/>
  </cols>
  <sheetData>
    <row r="1" spans="1:19" ht="75" x14ac:dyDescent="0.3">
      <c r="A1" s="105" t="s">
        <v>779</v>
      </c>
      <c r="B1" s="105" t="s">
        <v>4</v>
      </c>
      <c r="C1" s="106" t="s">
        <v>5</v>
      </c>
      <c r="D1" s="107"/>
      <c r="E1" s="108" t="s">
        <v>720</v>
      </c>
      <c r="F1" s="108" t="s">
        <v>728</v>
      </c>
      <c r="G1" s="108" t="s">
        <v>6</v>
      </c>
      <c r="H1" s="108" t="s">
        <v>7</v>
      </c>
      <c r="I1" s="108" t="s">
        <v>8</v>
      </c>
      <c r="J1" s="107"/>
      <c r="K1" s="109" t="s">
        <v>569</v>
      </c>
      <c r="L1" s="110" t="s">
        <v>570</v>
      </c>
      <c r="M1" s="110" t="s">
        <v>570</v>
      </c>
      <c r="N1" s="110" t="s">
        <v>571</v>
      </c>
      <c r="O1" s="111" t="s">
        <v>572</v>
      </c>
      <c r="P1" s="108" t="s">
        <v>721</v>
      </c>
      <c r="Q1" s="108" t="s">
        <v>721</v>
      </c>
      <c r="R1" s="108" t="s">
        <v>573</v>
      </c>
      <c r="S1" s="114"/>
    </row>
    <row r="2" spans="1:19" ht="18.75" x14ac:dyDescent="0.3">
      <c r="A2" s="105"/>
      <c r="B2" s="105"/>
      <c r="C2" s="106"/>
      <c r="D2" s="107"/>
      <c r="E2" s="108"/>
      <c r="F2" s="108"/>
      <c r="G2" s="108"/>
      <c r="H2" s="108"/>
      <c r="I2" s="108"/>
      <c r="J2" s="107"/>
      <c r="K2" s="112"/>
      <c r="L2" s="113"/>
      <c r="M2" s="113"/>
      <c r="N2" s="113"/>
      <c r="O2" s="114"/>
      <c r="P2" s="114"/>
      <c r="Q2" s="114"/>
      <c r="R2" s="114"/>
      <c r="S2" s="114"/>
    </row>
    <row r="3" spans="1:19" ht="18.75" x14ac:dyDescent="0.3">
      <c r="A3" s="115">
        <v>1</v>
      </c>
      <c r="B3" s="116" t="s">
        <v>48</v>
      </c>
      <c r="C3" s="117" t="s">
        <v>606</v>
      </c>
      <c r="D3" s="118"/>
      <c r="E3" s="119" t="s">
        <v>18</v>
      </c>
      <c r="F3" s="119" t="s">
        <v>729</v>
      </c>
      <c r="G3" s="119">
        <v>16000</v>
      </c>
      <c r="H3" s="119">
        <v>1600</v>
      </c>
      <c r="I3" s="119">
        <v>14400</v>
      </c>
      <c r="J3" s="118"/>
      <c r="K3" s="115">
        <v>100</v>
      </c>
      <c r="L3" s="120">
        <v>0</v>
      </c>
      <c r="M3" s="120">
        <v>100</v>
      </c>
      <c r="N3" s="120">
        <v>0</v>
      </c>
      <c r="O3" s="121">
        <v>1600000</v>
      </c>
      <c r="P3" s="121">
        <v>0</v>
      </c>
      <c r="Q3" s="121">
        <v>1600000</v>
      </c>
      <c r="R3" s="121"/>
      <c r="S3" s="107" t="s">
        <v>781</v>
      </c>
    </row>
    <row r="4" spans="1:19" ht="18.75" x14ac:dyDescent="0.3">
      <c r="A4" s="127">
        <v>2</v>
      </c>
      <c r="B4" s="134" t="s">
        <v>52</v>
      </c>
      <c r="C4" s="135" t="s">
        <v>607</v>
      </c>
      <c r="D4" s="128"/>
      <c r="E4" s="130" t="s">
        <v>18</v>
      </c>
      <c r="F4" s="130" t="s">
        <v>729</v>
      </c>
      <c r="G4" s="130">
        <v>16000</v>
      </c>
      <c r="H4" s="130">
        <v>1600</v>
      </c>
      <c r="I4" s="130">
        <v>14400</v>
      </c>
      <c r="J4" s="128"/>
      <c r="K4" s="127">
        <v>100</v>
      </c>
      <c r="L4" s="131">
        <v>0</v>
      </c>
      <c r="M4" s="131">
        <v>98</v>
      </c>
      <c r="N4" s="131">
        <v>2</v>
      </c>
      <c r="O4" s="126">
        <v>1600000</v>
      </c>
      <c r="P4" s="126">
        <v>0</v>
      </c>
      <c r="Q4" s="126">
        <v>1568000</v>
      </c>
      <c r="R4" s="142">
        <v>32000</v>
      </c>
      <c r="S4" s="128" t="s">
        <v>782</v>
      </c>
    </row>
    <row r="5" spans="1:19" ht="37.5" x14ac:dyDescent="0.3">
      <c r="A5" s="115">
        <v>3</v>
      </c>
      <c r="B5" s="118" t="s">
        <v>57</v>
      </c>
      <c r="C5" s="122" t="s">
        <v>608</v>
      </c>
      <c r="D5" s="118"/>
      <c r="E5" s="119" t="s">
        <v>18</v>
      </c>
      <c r="F5" s="119" t="s">
        <v>729</v>
      </c>
      <c r="G5" s="119">
        <v>16000</v>
      </c>
      <c r="H5" s="119">
        <v>1600</v>
      </c>
      <c r="I5" s="119">
        <v>14400</v>
      </c>
      <c r="J5" s="118"/>
      <c r="K5" s="115">
        <v>100</v>
      </c>
      <c r="L5" s="120">
        <v>0</v>
      </c>
      <c r="M5" s="120">
        <v>98</v>
      </c>
      <c r="N5" s="120">
        <v>0</v>
      </c>
      <c r="O5" s="121">
        <v>1600000</v>
      </c>
      <c r="P5" s="121">
        <v>0</v>
      </c>
      <c r="Q5" s="121">
        <v>1600000</v>
      </c>
      <c r="R5" s="121">
        <v>0</v>
      </c>
      <c r="S5" s="107" t="s">
        <v>781</v>
      </c>
    </row>
    <row r="6" spans="1:19" ht="18.75" x14ac:dyDescent="0.3">
      <c r="A6" s="115">
        <v>4</v>
      </c>
      <c r="B6" s="118" t="s">
        <v>66</v>
      </c>
      <c r="C6" s="122" t="s">
        <v>610</v>
      </c>
      <c r="D6" s="118"/>
      <c r="E6" s="119" t="s">
        <v>18</v>
      </c>
      <c r="F6" s="119" t="s">
        <v>729</v>
      </c>
      <c r="G6" s="119">
        <v>16000</v>
      </c>
      <c r="H6" s="119">
        <v>1600</v>
      </c>
      <c r="I6" s="119">
        <v>14400</v>
      </c>
      <c r="J6" s="118"/>
      <c r="K6" s="115">
        <v>100</v>
      </c>
      <c r="L6" s="120">
        <v>0</v>
      </c>
      <c r="M6" s="120">
        <v>100</v>
      </c>
      <c r="N6" s="120">
        <v>0</v>
      </c>
      <c r="O6" s="121">
        <v>1600000</v>
      </c>
      <c r="P6" s="121">
        <v>0</v>
      </c>
      <c r="Q6" s="121">
        <v>1600000</v>
      </c>
      <c r="R6" s="121">
        <v>0</v>
      </c>
      <c r="S6" s="107" t="s">
        <v>781</v>
      </c>
    </row>
    <row r="7" spans="1:19" ht="18.75" x14ac:dyDescent="0.3">
      <c r="A7" s="127">
        <v>5</v>
      </c>
      <c r="B7" s="128" t="s">
        <v>101</v>
      </c>
      <c r="C7" s="129" t="s">
        <v>616</v>
      </c>
      <c r="D7" s="128"/>
      <c r="E7" s="130" t="s">
        <v>18</v>
      </c>
      <c r="F7" s="130" t="s">
        <v>729</v>
      </c>
      <c r="G7" s="130">
        <v>16000</v>
      </c>
      <c r="H7" s="130">
        <v>1600</v>
      </c>
      <c r="I7" s="130">
        <v>14400</v>
      </c>
      <c r="J7" s="128"/>
      <c r="K7" s="127">
        <v>100</v>
      </c>
      <c r="L7" s="131">
        <v>0</v>
      </c>
      <c r="M7" s="131">
        <v>98</v>
      </c>
      <c r="N7" s="131">
        <v>2</v>
      </c>
      <c r="O7" s="126">
        <v>1600000</v>
      </c>
      <c r="P7" s="126">
        <v>0</v>
      </c>
      <c r="Q7" s="126">
        <v>1568000</v>
      </c>
      <c r="R7" s="142">
        <v>32000</v>
      </c>
      <c r="S7" s="128" t="s">
        <v>783</v>
      </c>
    </row>
    <row r="8" spans="1:19" s="104" customFormat="1" ht="18.75" x14ac:dyDescent="0.3">
      <c r="A8" s="115">
        <v>6</v>
      </c>
      <c r="B8" s="118" t="s">
        <v>107</v>
      </c>
      <c r="C8" s="122" t="s">
        <v>618</v>
      </c>
      <c r="D8" s="118"/>
      <c r="E8" s="119" t="s">
        <v>30</v>
      </c>
      <c r="F8" s="119">
        <v>8000</v>
      </c>
      <c r="G8" s="119">
        <v>16000</v>
      </c>
      <c r="H8" s="119">
        <v>1600</v>
      </c>
      <c r="I8" s="119">
        <v>14400</v>
      </c>
      <c r="J8" s="118"/>
      <c r="K8" s="115">
        <v>100</v>
      </c>
      <c r="L8" s="120">
        <v>44</v>
      </c>
      <c r="M8" s="120">
        <v>56</v>
      </c>
      <c r="N8" s="120">
        <v>0</v>
      </c>
      <c r="O8" s="121">
        <v>1248000</v>
      </c>
      <c r="P8" s="121">
        <v>352000</v>
      </c>
      <c r="Q8" s="121">
        <v>896000</v>
      </c>
      <c r="R8" s="121">
        <v>0</v>
      </c>
      <c r="S8" s="118" t="s">
        <v>781</v>
      </c>
    </row>
    <row r="9" spans="1:19" ht="37.5" x14ac:dyDescent="0.3">
      <c r="A9" s="115">
        <v>7</v>
      </c>
      <c r="B9" s="118" t="s">
        <v>131</v>
      </c>
      <c r="C9" s="122" t="s">
        <v>623</v>
      </c>
      <c r="D9" s="118"/>
      <c r="E9" s="119" t="s">
        <v>18</v>
      </c>
      <c r="F9" s="119" t="s">
        <v>729</v>
      </c>
      <c r="G9" s="119">
        <v>16000</v>
      </c>
      <c r="H9" s="119">
        <v>1600</v>
      </c>
      <c r="I9" s="119">
        <v>14400</v>
      </c>
      <c r="J9" s="118"/>
      <c r="K9" s="115">
        <v>100</v>
      </c>
      <c r="L9" s="120">
        <v>0</v>
      </c>
      <c r="M9" s="120">
        <v>100</v>
      </c>
      <c r="N9" s="120">
        <v>0</v>
      </c>
      <c r="O9" s="121">
        <v>1600000</v>
      </c>
      <c r="P9" s="121">
        <v>0</v>
      </c>
      <c r="Q9" s="121">
        <v>1600000</v>
      </c>
      <c r="R9" s="121">
        <v>0</v>
      </c>
      <c r="S9" s="107" t="s">
        <v>784</v>
      </c>
    </row>
    <row r="10" spans="1:19" ht="18.75" x14ac:dyDescent="0.3">
      <c r="A10" s="115">
        <v>8</v>
      </c>
      <c r="B10" s="118" t="s">
        <v>149</v>
      </c>
      <c r="C10" s="122" t="s">
        <v>625</v>
      </c>
      <c r="D10" s="118"/>
      <c r="E10" s="119" t="s">
        <v>30</v>
      </c>
      <c r="F10" s="119">
        <v>8000</v>
      </c>
      <c r="G10" s="119">
        <v>16000</v>
      </c>
      <c r="H10" s="119">
        <v>1600</v>
      </c>
      <c r="I10" s="119">
        <v>14400</v>
      </c>
      <c r="J10" s="118"/>
      <c r="K10" s="115">
        <v>100</v>
      </c>
      <c r="L10" s="120">
        <v>47</v>
      </c>
      <c r="M10" s="120">
        <v>53</v>
      </c>
      <c r="N10" s="120">
        <v>0</v>
      </c>
      <c r="O10" s="121">
        <v>1224000</v>
      </c>
      <c r="P10" s="121">
        <v>376000</v>
      </c>
      <c r="Q10" s="121">
        <v>848000</v>
      </c>
      <c r="R10" s="121">
        <v>0</v>
      </c>
      <c r="S10" s="107" t="s">
        <v>781</v>
      </c>
    </row>
    <row r="11" spans="1:19" ht="18.75" x14ac:dyDescent="0.3">
      <c r="A11" s="115">
        <v>9</v>
      </c>
      <c r="B11" s="118" t="s">
        <v>159</v>
      </c>
      <c r="C11" s="122" t="s">
        <v>627</v>
      </c>
      <c r="D11" s="118"/>
      <c r="E11" s="119" t="s">
        <v>18</v>
      </c>
      <c r="F11" s="119" t="s">
        <v>729</v>
      </c>
      <c r="G11" s="119">
        <v>16000</v>
      </c>
      <c r="H11" s="119">
        <v>1600</v>
      </c>
      <c r="I11" s="119">
        <v>14400</v>
      </c>
      <c r="J11" s="118"/>
      <c r="K11" s="115">
        <v>100</v>
      </c>
      <c r="L11" s="120">
        <v>0</v>
      </c>
      <c r="M11" s="120">
        <v>100</v>
      </c>
      <c r="N11" s="120">
        <v>0</v>
      </c>
      <c r="O11" s="121">
        <v>1600000</v>
      </c>
      <c r="P11" s="121">
        <v>0</v>
      </c>
      <c r="Q11" s="121">
        <v>1600000</v>
      </c>
      <c r="R11" s="121">
        <v>0</v>
      </c>
      <c r="S11" s="107" t="s">
        <v>781</v>
      </c>
    </row>
    <row r="12" spans="1:19" ht="18.75" x14ac:dyDescent="0.3">
      <c r="A12" s="127">
        <v>10</v>
      </c>
      <c r="B12" s="128" t="s">
        <v>164</v>
      </c>
      <c r="C12" s="129" t="s">
        <v>628</v>
      </c>
      <c r="D12" s="128"/>
      <c r="E12" s="130" t="s">
        <v>18</v>
      </c>
      <c r="F12" s="130"/>
      <c r="G12" s="130">
        <v>16000</v>
      </c>
      <c r="H12" s="130">
        <v>1600</v>
      </c>
      <c r="I12" s="130">
        <v>14400</v>
      </c>
      <c r="J12" s="128"/>
      <c r="K12" s="127">
        <v>100</v>
      </c>
      <c r="L12" s="131">
        <v>59</v>
      </c>
      <c r="M12" s="131">
        <v>41</v>
      </c>
      <c r="N12" s="131">
        <v>0</v>
      </c>
      <c r="O12" s="126">
        <v>1688500</v>
      </c>
      <c r="P12" s="126">
        <v>1032500</v>
      </c>
      <c r="Q12" s="126">
        <f>O12-P12</f>
        <v>656000</v>
      </c>
      <c r="R12" s="142">
        <v>144000</v>
      </c>
      <c r="S12" s="128" t="s">
        <v>785</v>
      </c>
    </row>
    <row r="13" spans="1:19" ht="37.5" x14ac:dyDescent="0.3">
      <c r="A13" s="115">
        <v>11</v>
      </c>
      <c r="B13" s="118" t="s">
        <v>182</v>
      </c>
      <c r="C13" s="122" t="s">
        <v>632</v>
      </c>
      <c r="D13" s="118"/>
      <c r="E13" s="119" t="s">
        <v>30</v>
      </c>
      <c r="F13" s="119">
        <v>18000</v>
      </c>
      <c r="G13" s="119">
        <v>16000</v>
      </c>
      <c r="H13" s="119">
        <v>1600</v>
      </c>
      <c r="I13" s="119">
        <v>14400</v>
      </c>
      <c r="J13" s="118"/>
      <c r="K13" s="115">
        <v>100</v>
      </c>
      <c r="L13" s="120">
        <v>57</v>
      </c>
      <c r="M13" s="120">
        <v>32</v>
      </c>
      <c r="N13" s="120">
        <v>11</v>
      </c>
      <c r="O13" s="121">
        <v>1714000</v>
      </c>
      <c r="P13" s="121">
        <v>1026000</v>
      </c>
      <c r="Q13" s="121">
        <v>512000</v>
      </c>
      <c r="R13" s="121"/>
      <c r="S13" s="107" t="s">
        <v>786</v>
      </c>
    </row>
    <row r="14" spans="1:19" ht="18.75" x14ac:dyDescent="0.3">
      <c r="A14" s="115">
        <v>12</v>
      </c>
      <c r="B14" s="118" t="s">
        <v>190</v>
      </c>
      <c r="C14" s="122" t="s">
        <v>633</v>
      </c>
      <c r="D14" s="118"/>
      <c r="E14" s="119" t="s">
        <v>18</v>
      </c>
      <c r="F14" s="119">
        <v>18000</v>
      </c>
      <c r="G14" s="119">
        <v>16000</v>
      </c>
      <c r="H14" s="119">
        <v>1600</v>
      </c>
      <c r="I14" s="119">
        <v>14400</v>
      </c>
      <c r="J14" s="118"/>
      <c r="K14" s="115">
        <v>100</v>
      </c>
      <c r="L14" s="120">
        <v>57</v>
      </c>
      <c r="M14" s="120">
        <v>43</v>
      </c>
      <c r="N14" s="120">
        <v>0</v>
      </c>
      <c r="O14" s="121">
        <v>1714000</v>
      </c>
      <c r="P14" s="121">
        <v>1026000</v>
      </c>
      <c r="Q14" s="121">
        <v>688000</v>
      </c>
      <c r="R14" s="121">
        <v>0</v>
      </c>
      <c r="S14" s="107" t="s">
        <v>781</v>
      </c>
    </row>
    <row r="15" spans="1:19" ht="18.75" x14ac:dyDescent="0.3">
      <c r="A15" s="115">
        <v>13</v>
      </c>
      <c r="B15" s="118" t="s">
        <v>195</v>
      </c>
      <c r="C15" s="122" t="s">
        <v>634</v>
      </c>
      <c r="D15" s="118"/>
      <c r="E15" s="119" t="s">
        <v>30</v>
      </c>
      <c r="F15" s="119">
        <v>21000</v>
      </c>
      <c r="G15" s="119">
        <v>16000</v>
      </c>
      <c r="H15" s="119">
        <v>1600</v>
      </c>
      <c r="I15" s="119">
        <v>14400</v>
      </c>
      <c r="J15" s="118"/>
      <c r="K15" s="115">
        <v>100</v>
      </c>
      <c r="L15" s="120">
        <v>58</v>
      </c>
      <c r="M15" s="120">
        <v>39</v>
      </c>
      <c r="N15" s="120">
        <v>3</v>
      </c>
      <c r="O15" s="121">
        <v>1890000</v>
      </c>
      <c r="P15" s="121">
        <v>1218000</v>
      </c>
      <c r="Q15" s="121">
        <v>624000</v>
      </c>
      <c r="R15" s="121"/>
      <c r="S15" s="107" t="s">
        <v>781</v>
      </c>
    </row>
    <row r="16" spans="1:19" ht="18.75" x14ac:dyDescent="0.3">
      <c r="A16" s="115">
        <v>14</v>
      </c>
      <c r="B16" s="118" t="s">
        <v>203</v>
      </c>
      <c r="C16" s="122" t="s">
        <v>636</v>
      </c>
      <c r="D16" s="118"/>
      <c r="E16" s="119" t="s">
        <v>18</v>
      </c>
      <c r="F16" s="119">
        <v>18000</v>
      </c>
      <c r="G16" s="119">
        <v>16000</v>
      </c>
      <c r="H16" s="119">
        <v>1600</v>
      </c>
      <c r="I16" s="119">
        <v>14400</v>
      </c>
      <c r="J16" s="118"/>
      <c r="K16" s="115">
        <v>100</v>
      </c>
      <c r="L16" s="120">
        <v>58</v>
      </c>
      <c r="M16" s="120">
        <v>42</v>
      </c>
      <c r="N16" s="120">
        <v>0</v>
      </c>
      <c r="O16" s="121">
        <v>1716000</v>
      </c>
      <c r="P16" s="121">
        <v>1044000</v>
      </c>
      <c r="Q16" s="121">
        <v>672000</v>
      </c>
      <c r="R16" s="121">
        <v>0</v>
      </c>
      <c r="S16" s="107" t="s">
        <v>781</v>
      </c>
    </row>
    <row r="17" spans="1:20" ht="18.75" x14ac:dyDescent="0.3">
      <c r="A17" s="115">
        <v>15</v>
      </c>
      <c r="B17" s="116" t="s">
        <v>211</v>
      </c>
      <c r="C17" s="122" t="s">
        <v>638</v>
      </c>
      <c r="D17" s="118"/>
      <c r="E17" s="119" t="s">
        <v>18</v>
      </c>
      <c r="F17" s="119" t="s">
        <v>729</v>
      </c>
      <c r="G17" s="119">
        <v>16000</v>
      </c>
      <c r="H17" s="119">
        <v>1600</v>
      </c>
      <c r="I17" s="119">
        <v>14400</v>
      </c>
      <c r="J17" s="118"/>
      <c r="K17" s="115">
        <v>100</v>
      </c>
      <c r="L17" s="120">
        <v>0</v>
      </c>
      <c r="M17" s="120">
        <v>100</v>
      </c>
      <c r="N17" s="120">
        <v>0</v>
      </c>
      <c r="O17" s="121">
        <v>1600000</v>
      </c>
      <c r="P17" s="121">
        <v>0</v>
      </c>
      <c r="Q17" s="121">
        <v>1600000</v>
      </c>
      <c r="R17" s="121">
        <v>0</v>
      </c>
      <c r="S17" s="107" t="s">
        <v>781</v>
      </c>
    </row>
    <row r="18" spans="1:20" ht="37.5" x14ac:dyDescent="0.3">
      <c r="A18" s="115">
        <v>16</v>
      </c>
      <c r="B18" s="118" t="s">
        <v>219</v>
      </c>
      <c r="C18" s="122" t="s">
        <v>640</v>
      </c>
      <c r="D18" s="118"/>
      <c r="E18" s="119" t="s">
        <v>18</v>
      </c>
      <c r="F18" s="119" t="s">
        <v>729</v>
      </c>
      <c r="G18" s="119">
        <v>16000</v>
      </c>
      <c r="H18" s="119">
        <v>1600</v>
      </c>
      <c r="I18" s="119">
        <v>14400</v>
      </c>
      <c r="J18" s="118"/>
      <c r="K18" s="115">
        <v>100</v>
      </c>
      <c r="L18" s="120">
        <v>0</v>
      </c>
      <c r="M18" s="120">
        <v>100</v>
      </c>
      <c r="N18" s="120">
        <v>0</v>
      </c>
      <c r="O18" s="121">
        <v>1600000</v>
      </c>
      <c r="P18" s="121">
        <v>0</v>
      </c>
      <c r="Q18" s="121">
        <v>1600000</v>
      </c>
      <c r="R18" s="121">
        <v>0</v>
      </c>
      <c r="S18" s="107" t="s">
        <v>781</v>
      </c>
    </row>
    <row r="19" spans="1:20" ht="18.75" x14ac:dyDescent="0.3">
      <c r="A19" s="127">
        <v>17</v>
      </c>
      <c r="B19" s="128" t="s">
        <v>231</v>
      </c>
      <c r="C19" s="129" t="s">
        <v>642</v>
      </c>
      <c r="D19" s="128"/>
      <c r="E19" s="130" t="s">
        <v>18</v>
      </c>
      <c r="F19" s="130">
        <v>18000</v>
      </c>
      <c r="G19" s="130">
        <v>16000</v>
      </c>
      <c r="H19" s="130">
        <v>1600</v>
      </c>
      <c r="I19" s="130">
        <v>14400</v>
      </c>
      <c r="J19" s="128"/>
      <c r="K19" s="127">
        <v>100</v>
      </c>
      <c r="L19" s="131">
        <v>58</v>
      </c>
      <c r="M19" s="131">
        <v>38</v>
      </c>
      <c r="N19" s="131">
        <v>4</v>
      </c>
      <c r="O19" s="126">
        <v>1716000</v>
      </c>
      <c r="P19" s="126">
        <v>1044000</v>
      </c>
      <c r="Q19" s="126">
        <v>608000</v>
      </c>
      <c r="R19" s="142">
        <v>64000</v>
      </c>
      <c r="S19" s="128"/>
    </row>
    <row r="20" spans="1:20" ht="56.25" x14ac:dyDescent="0.3">
      <c r="A20" s="115">
        <v>18</v>
      </c>
      <c r="B20" s="116" t="s">
        <v>236</v>
      </c>
      <c r="C20" s="117" t="s">
        <v>643</v>
      </c>
      <c r="D20" s="118"/>
      <c r="E20" s="119" t="s">
        <v>18</v>
      </c>
      <c r="F20" s="119" t="s">
        <v>729</v>
      </c>
      <c r="G20" s="119">
        <v>16000</v>
      </c>
      <c r="H20" s="119">
        <v>1600</v>
      </c>
      <c r="I20" s="119">
        <v>14400</v>
      </c>
      <c r="J20" s="118"/>
      <c r="K20" s="115">
        <v>100</v>
      </c>
      <c r="L20" s="120">
        <v>0</v>
      </c>
      <c r="M20" s="120">
        <v>100</v>
      </c>
      <c r="N20" s="120">
        <v>0</v>
      </c>
      <c r="O20" s="121">
        <v>1600000</v>
      </c>
      <c r="P20" s="121">
        <v>0</v>
      </c>
      <c r="Q20" s="121">
        <v>1600000</v>
      </c>
      <c r="R20" s="121">
        <v>0</v>
      </c>
      <c r="S20" s="107" t="s">
        <v>781</v>
      </c>
    </row>
    <row r="21" spans="1:20" ht="37.5" x14ac:dyDescent="0.3">
      <c r="A21" s="115">
        <v>19</v>
      </c>
      <c r="B21" s="118" t="s">
        <v>256</v>
      </c>
      <c r="C21" s="122" t="s">
        <v>647</v>
      </c>
      <c r="D21" s="118"/>
      <c r="E21" s="119" t="s">
        <v>18</v>
      </c>
      <c r="F21" s="119">
        <v>18000</v>
      </c>
      <c r="G21" s="119">
        <v>16000</v>
      </c>
      <c r="H21" s="119">
        <v>1600</v>
      </c>
      <c r="I21" s="119">
        <v>14400</v>
      </c>
      <c r="J21" s="118"/>
      <c r="K21" s="115">
        <v>100</v>
      </c>
      <c r="L21" s="120">
        <v>58</v>
      </c>
      <c r="M21" s="120">
        <v>32</v>
      </c>
      <c r="N21" s="120">
        <v>10</v>
      </c>
      <c r="O21" s="121">
        <v>1716000</v>
      </c>
      <c r="P21" s="121">
        <v>1044000</v>
      </c>
      <c r="Q21" s="121">
        <v>512000</v>
      </c>
      <c r="R21" s="121"/>
      <c r="S21" s="107" t="s">
        <v>786</v>
      </c>
    </row>
    <row r="22" spans="1:20" ht="18.75" x14ac:dyDescent="0.3">
      <c r="A22" s="115">
        <v>20</v>
      </c>
      <c r="B22" s="118" t="s">
        <v>261</v>
      </c>
      <c r="C22" s="122" t="s">
        <v>648</v>
      </c>
      <c r="D22" s="118"/>
      <c r="E22" s="119" t="s">
        <v>18</v>
      </c>
      <c r="F22" s="119">
        <v>18000</v>
      </c>
      <c r="G22" s="119">
        <v>16000</v>
      </c>
      <c r="H22" s="119">
        <v>1600</v>
      </c>
      <c r="I22" s="119">
        <v>14400</v>
      </c>
      <c r="J22" s="118"/>
      <c r="K22" s="115">
        <v>100</v>
      </c>
      <c r="L22" s="120">
        <v>58</v>
      </c>
      <c r="M22" s="120">
        <v>32</v>
      </c>
      <c r="N22" s="120">
        <v>10</v>
      </c>
      <c r="O22" s="121">
        <v>1716000</v>
      </c>
      <c r="P22" s="121">
        <v>1044000</v>
      </c>
      <c r="Q22" s="121">
        <v>512000</v>
      </c>
      <c r="R22" s="121"/>
      <c r="S22" s="107" t="s">
        <v>786</v>
      </c>
    </row>
    <row r="23" spans="1:20" ht="37.5" x14ac:dyDescent="0.3">
      <c r="A23" s="127">
        <v>21</v>
      </c>
      <c r="B23" s="128" t="s">
        <v>266</v>
      </c>
      <c r="C23" s="129" t="s">
        <v>736</v>
      </c>
      <c r="D23" s="128"/>
      <c r="E23" s="130" t="s">
        <v>18</v>
      </c>
      <c r="F23" s="130">
        <v>18000</v>
      </c>
      <c r="G23" s="130">
        <v>16000</v>
      </c>
      <c r="H23" s="130">
        <v>1600</v>
      </c>
      <c r="I23" s="130">
        <v>14400</v>
      </c>
      <c r="J23" s="128"/>
      <c r="K23" s="127">
        <v>100</v>
      </c>
      <c r="L23" s="133">
        <v>56</v>
      </c>
      <c r="M23" s="133">
        <v>37</v>
      </c>
      <c r="N23" s="133">
        <v>7</v>
      </c>
      <c r="O23" s="130">
        <v>1712000</v>
      </c>
      <c r="P23" s="130">
        <v>1008000</v>
      </c>
      <c r="Q23" s="130">
        <v>592000</v>
      </c>
      <c r="R23" s="143">
        <v>112000</v>
      </c>
      <c r="S23" s="128" t="s">
        <v>787</v>
      </c>
      <c r="T23" t="s">
        <v>789</v>
      </c>
    </row>
    <row r="24" spans="1:20" ht="18.75" x14ac:dyDescent="0.3">
      <c r="A24" s="127">
        <v>22</v>
      </c>
      <c r="B24" s="128" t="s">
        <v>276</v>
      </c>
      <c r="C24" s="129" t="s">
        <v>649</v>
      </c>
      <c r="D24" s="128"/>
      <c r="E24" s="130" t="s">
        <v>18</v>
      </c>
      <c r="F24" s="130">
        <v>18000</v>
      </c>
      <c r="G24" s="130">
        <v>16000</v>
      </c>
      <c r="H24" s="130">
        <v>1600</v>
      </c>
      <c r="I24" s="130">
        <v>14400</v>
      </c>
      <c r="J24" s="128"/>
      <c r="K24" s="127">
        <v>100</v>
      </c>
      <c r="L24" s="131">
        <v>56</v>
      </c>
      <c r="M24" s="131">
        <v>41</v>
      </c>
      <c r="N24" s="131">
        <v>3</v>
      </c>
      <c r="O24" s="126">
        <v>1712000</v>
      </c>
      <c r="P24" s="126">
        <v>1008000</v>
      </c>
      <c r="Q24" s="126">
        <v>656000</v>
      </c>
      <c r="R24" s="142">
        <v>48000</v>
      </c>
      <c r="S24" s="128"/>
    </row>
    <row r="25" spans="1:20" ht="18.75" x14ac:dyDescent="0.3">
      <c r="A25" s="115">
        <v>23</v>
      </c>
      <c r="B25" s="118" t="s">
        <v>280</v>
      </c>
      <c r="C25" s="122" t="s">
        <v>650</v>
      </c>
      <c r="D25" s="118"/>
      <c r="E25" s="119" t="s">
        <v>18</v>
      </c>
      <c r="F25" s="119" t="s">
        <v>729</v>
      </c>
      <c r="G25" s="119">
        <v>16000</v>
      </c>
      <c r="H25" s="119">
        <v>1600</v>
      </c>
      <c r="I25" s="119">
        <v>14400</v>
      </c>
      <c r="J25" s="118"/>
      <c r="K25" s="115">
        <v>100</v>
      </c>
      <c r="L25" s="120">
        <v>0</v>
      </c>
      <c r="M25" s="120">
        <v>93</v>
      </c>
      <c r="N25" s="120">
        <v>7</v>
      </c>
      <c r="O25" s="121">
        <v>1600000</v>
      </c>
      <c r="P25" s="121">
        <v>0</v>
      </c>
      <c r="Q25" s="121">
        <v>1488000</v>
      </c>
      <c r="R25" s="121"/>
      <c r="S25" s="107"/>
    </row>
    <row r="26" spans="1:20" ht="18.75" x14ac:dyDescent="0.3">
      <c r="A26" s="127">
        <v>24</v>
      </c>
      <c r="B26" s="128" t="s">
        <v>309</v>
      </c>
      <c r="C26" s="129" t="s">
        <v>657</v>
      </c>
      <c r="D26" s="128"/>
      <c r="E26" s="130" t="s">
        <v>18</v>
      </c>
      <c r="F26" s="130">
        <v>21000</v>
      </c>
      <c r="G26" s="130">
        <v>16000</v>
      </c>
      <c r="H26" s="130">
        <v>1600</v>
      </c>
      <c r="I26" s="130">
        <v>14400</v>
      </c>
      <c r="J26" s="128"/>
      <c r="K26" s="127">
        <v>100</v>
      </c>
      <c r="L26" s="132">
        <v>55</v>
      </c>
      <c r="M26" s="131">
        <v>44</v>
      </c>
      <c r="N26" s="131">
        <v>1</v>
      </c>
      <c r="O26" s="126">
        <v>1875000</v>
      </c>
      <c r="P26" s="126">
        <v>1155000</v>
      </c>
      <c r="Q26" s="126">
        <v>704000</v>
      </c>
      <c r="R26" s="142">
        <v>16000</v>
      </c>
      <c r="S26" s="128" t="s">
        <v>781</v>
      </c>
    </row>
    <row r="27" spans="1:20" ht="18.75" x14ac:dyDescent="0.3">
      <c r="A27" s="127">
        <v>25</v>
      </c>
      <c r="B27" s="128" t="s">
        <v>319</v>
      </c>
      <c r="C27" s="129" t="s">
        <v>659</v>
      </c>
      <c r="D27" s="128"/>
      <c r="E27" s="130" t="s">
        <v>18</v>
      </c>
      <c r="F27" s="130">
        <v>18000</v>
      </c>
      <c r="G27" s="130">
        <v>16000</v>
      </c>
      <c r="H27" s="130">
        <v>1600</v>
      </c>
      <c r="I27" s="130">
        <v>14400</v>
      </c>
      <c r="J27" s="128"/>
      <c r="K27" s="127">
        <v>100</v>
      </c>
      <c r="L27" s="132">
        <v>58</v>
      </c>
      <c r="M27" s="131">
        <v>38</v>
      </c>
      <c r="N27" s="131">
        <v>4</v>
      </c>
      <c r="O27" s="126">
        <v>1716000</v>
      </c>
      <c r="P27" s="126">
        <v>1044000</v>
      </c>
      <c r="Q27" s="126">
        <v>608000</v>
      </c>
      <c r="R27" s="142">
        <v>64000</v>
      </c>
      <c r="S27" s="128"/>
    </row>
    <row r="28" spans="1:20" ht="37.5" x14ac:dyDescent="0.3">
      <c r="A28" s="127">
        <v>26</v>
      </c>
      <c r="B28" s="128" t="s">
        <v>322</v>
      </c>
      <c r="C28" s="129" t="s">
        <v>660</v>
      </c>
      <c r="D28" s="128"/>
      <c r="E28" s="130" t="s">
        <v>18</v>
      </c>
      <c r="F28" s="130">
        <v>18000</v>
      </c>
      <c r="G28" s="130">
        <v>16000</v>
      </c>
      <c r="H28" s="130">
        <v>1600</v>
      </c>
      <c r="I28" s="130">
        <v>14400</v>
      </c>
      <c r="J28" s="128"/>
      <c r="K28" s="127">
        <v>100</v>
      </c>
      <c r="L28" s="132">
        <v>57</v>
      </c>
      <c r="M28" s="131">
        <v>32</v>
      </c>
      <c r="N28" s="131">
        <v>11</v>
      </c>
      <c r="O28" s="126">
        <v>1714000</v>
      </c>
      <c r="P28" s="126">
        <v>1026000</v>
      </c>
      <c r="Q28" s="126">
        <v>512000</v>
      </c>
      <c r="R28" s="142">
        <v>176000</v>
      </c>
      <c r="S28" s="128" t="s">
        <v>788</v>
      </c>
    </row>
    <row r="29" spans="1:20" ht="18.75" x14ac:dyDescent="0.3">
      <c r="A29" s="115">
        <v>27</v>
      </c>
      <c r="B29" s="118" t="s">
        <v>333</v>
      </c>
      <c r="C29" s="122" t="s">
        <v>662</v>
      </c>
      <c r="D29" s="118"/>
      <c r="E29" s="119" t="s">
        <v>18</v>
      </c>
      <c r="F29" s="119">
        <v>18000</v>
      </c>
      <c r="G29" s="119">
        <v>16000</v>
      </c>
      <c r="H29" s="119">
        <v>1600</v>
      </c>
      <c r="I29" s="119">
        <v>14400</v>
      </c>
      <c r="J29" s="118"/>
      <c r="K29" s="115">
        <v>100</v>
      </c>
      <c r="L29" s="123">
        <v>60</v>
      </c>
      <c r="M29" s="120">
        <v>40</v>
      </c>
      <c r="N29" s="120">
        <v>0</v>
      </c>
      <c r="O29" s="121">
        <v>1720000</v>
      </c>
      <c r="P29" s="121">
        <v>1062000</v>
      </c>
      <c r="Q29" s="121">
        <v>648000</v>
      </c>
      <c r="R29" s="121">
        <v>0</v>
      </c>
      <c r="S29" s="107" t="s">
        <v>781</v>
      </c>
    </row>
    <row r="30" spans="1:20" ht="18.75" x14ac:dyDescent="0.3">
      <c r="A30" s="115">
        <v>28</v>
      </c>
      <c r="B30" s="118" t="s">
        <v>347</v>
      </c>
      <c r="C30" s="122" t="s">
        <v>665</v>
      </c>
      <c r="D30" s="118"/>
      <c r="E30" s="119" t="s">
        <v>18</v>
      </c>
      <c r="F30" s="119">
        <v>18000</v>
      </c>
      <c r="G30" s="119">
        <v>16000</v>
      </c>
      <c r="H30" s="119">
        <v>1600</v>
      </c>
      <c r="I30" s="119">
        <v>14400</v>
      </c>
      <c r="J30" s="118"/>
      <c r="K30" s="115">
        <v>100</v>
      </c>
      <c r="L30" s="123">
        <v>56</v>
      </c>
      <c r="M30" s="120">
        <v>44</v>
      </c>
      <c r="N30" s="120">
        <v>0</v>
      </c>
      <c r="O30" s="121">
        <v>1712000</v>
      </c>
      <c r="P30" s="121">
        <v>1008000</v>
      </c>
      <c r="Q30" s="121">
        <v>704000</v>
      </c>
      <c r="R30" s="121">
        <v>0</v>
      </c>
      <c r="S30" s="107" t="s">
        <v>781</v>
      </c>
    </row>
    <row r="31" spans="1:20" ht="18.75" x14ac:dyDescent="0.3">
      <c r="A31" s="115">
        <v>29</v>
      </c>
      <c r="B31" s="116" t="s">
        <v>351</v>
      </c>
      <c r="C31" s="122" t="s">
        <v>666</v>
      </c>
      <c r="D31" s="118"/>
      <c r="E31" s="119" t="s">
        <v>18</v>
      </c>
      <c r="F31" s="119" t="s">
        <v>729</v>
      </c>
      <c r="G31" s="119">
        <v>16000</v>
      </c>
      <c r="H31" s="119">
        <v>1600</v>
      </c>
      <c r="I31" s="119">
        <v>14400</v>
      </c>
      <c r="J31" s="118"/>
      <c r="K31" s="115">
        <v>100</v>
      </c>
      <c r="L31" s="120">
        <v>0</v>
      </c>
      <c r="M31" s="120">
        <v>100</v>
      </c>
      <c r="N31" s="120">
        <v>0</v>
      </c>
      <c r="O31" s="121">
        <v>1600000</v>
      </c>
      <c r="P31" s="121">
        <v>0</v>
      </c>
      <c r="Q31" s="121">
        <v>1600000</v>
      </c>
      <c r="R31" s="121">
        <v>0</v>
      </c>
      <c r="S31" s="107" t="s">
        <v>781</v>
      </c>
    </row>
    <row r="32" spans="1:20" ht="37.5" x14ac:dyDescent="0.3">
      <c r="A32" s="127">
        <v>30</v>
      </c>
      <c r="B32" s="128" t="s">
        <v>376</v>
      </c>
      <c r="C32" s="129" t="s">
        <v>780</v>
      </c>
      <c r="D32" s="128"/>
      <c r="E32" s="130" t="s">
        <v>18</v>
      </c>
      <c r="F32" s="130">
        <v>18000</v>
      </c>
      <c r="G32" s="130">
        <v>16000</v>
      </c>
      <c r="H32" s="130">
        <f t="shared" ref="H32" si="0">+G32*10%</f>
        <v>1600</v>
      </c>
      <c r="I32" s="130">
        <v>14400</v>
      </c>
      <c r="J32" s="128"/>
      <c r="K32" s="127">
        <v>100</v>
      </c>
      <c r="L32" s="131">
        <v>59</v>
      </c>
      <c r="M32" s="131">
        <v>34</v>
      </c>
      <c r="N32" s="131">
        <v>7</v>
      </c>
      <c r="O32" s="126">
        <v>1718000</v>
      </c>
      <c r="P32" s="126">
        <v>1062000</v>
      </c>
      <c r="Q32" s="126">
        <v>544000</v>
      </c>
      <c r="R32" s="142">
        <v>112000</v>
      </c>
      <c r="S32" s="128"/>
    </row>
    <row r="33" spans="1:19" ht="18.75" x14ac:dyDescent="0.3">
      <c r="A33" s="115">
        <v>31</v>
      </c>
      <c r="B33" s="118" t="s">
        <v>381</v>
      </c>
      <c r="C33" s="122" t="s">
        <v>672</v>
      </c>
      <c r="D33" s="118"/>
      <c r="E33" s="119" t="s">
        <v>18</v>
      </c>
      <c r="F33" s="119">
        <v>18000</v>
      </c>
      <c r="G33" s="119">
        <v>16000</v>
      </c>
      <c r="H33" s="119">
        <v>1600</v>
      </c>
      <c r="I33" s="119">
        <v>14400</v>
      </c>
      <c r="J33" s="118"/>
      <c r="K33" s="115">
        <v>100</v>
      </c>
      <c r="L33" s="123">
        <v>57</v>
      </c>
      <c r="M33" s="120">
        <v>42.125</v>
      </c>
      <c r="N33" s="120"/>
      <c r="O33" s="121">
        <v>1714000</v>
      </c>
      <c r="P33" s="121">
        <v>1026000</v>
      </c>
      <c r="Q33" s="121">
        <v>674000</v>
      </c>
      <c r="R33" s="121"/>
      <c r="S33" s="107"/>
    </row>
    <row r="34" spans="1:19" ht="18.75" x14ac:dyDescent="0.3">
      <c r="A34" s="136">
        <v>32</v>
      </c>
      <c r="B34" s="137" t="s">
        <v>434</v>
      </c>
      <c r="C34" s="138" t="s">
        <v>683</v>
      </c>
      <c r="D34" s="137"/>
      <c r="E34" s="139" t="s">
        <v>30</v>
      </c>
      <c r="F34" s="139">
        <v>18000</v>
      </c>
      <c r="G34" s="139">
        <v>16000</v>
      </c>
      <c r="H34" s="139">
        <v>1600</v>
      </c>
      <c r="I34" s="139">
        <v>14400</v>
      </c>
      <c r="J34" s="137"/>
      <c r="K34" s="136">
        <v>100</v>
      </c>
      <c r="L34" s="140">
        <v>45</v>
      </c>
      <c r="M34" s="140">
        <v>43</v>
      </c>
      <c r="N34" s="140">
        <v>12</v>
      </c>
      <c r="O34" s="141">
        <v>1690000</v>
      </c>
      <c r="P34" s="141">
        <v>810000</v>
      </c>
      <c r="Q34" s="141">
        <v>688000</v>
      </c>
      <c r="R34" s="141">
        <v>192000</v>
      </c>
      <c r="S34" s="137" t="s">
        <v>788</v>
      </c>
    </row>
    <row r="35" spans="1:19" ht="37.5" x14ac:dyDescent="0.3">
      <c r="A35" s="115">
        <v>33</v>
      </c>
      <c r="B35" s="118" t="s">
        <v>437</v>
      </c>
      <c r="C35" s="122" t="s">
        <v>684</v>
      </c>
      <c r="D35" s="118"/>
      <c r="E35" s="119" t="s">
        <v>18</v>
      </c>
      <c r="F35" s="119">
        <v>18000</v>
      </c>
      <c r="G35" s="119">
        <v>16000</v>
      </c>
      <c r="H35" s="119">
        <v>1600</v>
      </c>
      <c r="I35" s="119">
        <v>14400</v>
      </c>
      <c r="J35" s="118"/>
      <c r="K35" s="115">
        <v>100</v>
      </c>
      <c r="L35" s="123">
        <v>58</v>
      </c>
      <c r="M35" s="120">
        <v>42</v>
      </c>
      <c r="N35" s="120">
        <v>0</v>
      </c>
      <c r="O35" s="121">
        <v>1716000</v>
      </c>
      <c r="P35" s="121">
        <v>1044000</v>
      </c>
      <c r="Q35" s="121">
        <v>672000</v>
      </c>
      <c r="R35" s="121">
        <v>0</v>
      </c>
      <c r="S35" s="107"/>
    </row>
    <row r="36" spans="1:19" ht="37.5" x14ac:dyDescent="0.3">
      <c r="A36" s="115">
        <v>34</v>
      </c>
      <c r="B36" s="118" t="s">
        <v>467</v>
      </c>
      <c r="C36" s="122" t="s">
        <v>688</v>
      </c>
      <c r="D36" s="118"/>
      <c r="E36" s="119" t="s">
        <v>30</v>
      </c>
      <c r="F36" s="119">
        <v>18000</v>
      </c>
      <c r="G36" s="119">
        <v>16000</v>
      </c>
      <c r="H36" s="119">
        <v>1600</v>
      </c>
      <c r="I36" s="119">
        <v>14400</v>
      </c>
      <c r="J36" s="118"/>
      <c r="K36" s="115">
        <v>100</v>
      </c>
      <c r="L36" s="120">
        <v>61</v>
      </c>
      <c r="M36" s="120">
        <v>39</v>
      </c>
      <c r="N36" s="120">
        <v>0</v>
      </c>
      <c r="O36" s="121">
        <v>1722000</v>
      </c>
      <c r="P36" s="121">
        <v>1098000</v>
      </c>
      <c r="Q36" s="121">
        <v>624000</v>
      </c>
      <c r="R36" s="121">
        <v>0</v>
      </c>
      <c r="S36" s="107"/>
    </row>
    <row r="37" spans="1:19" ht="18.75" x14ac:dyDescent="0.3">
      <c r="A37" s="115">
        <v>35</v>
      </c>
      <c r="B37" s="116" t="s">
        <v>472</v>
      </c>
      <c r="C37" s="122" t="s">
        <v>689</v>
      </c>
      <c r="D37" s="118"/>
      <c r="E37" s="119" t="s">
        <v>18</v>
      </c>
      <c r="F37" s="119" t="s">
        <v>729</v>
      </c>
      <c r="G37" s="119">
        <v>16000</v>
      </c>
      <c r="H37" s="119">
        <v>1600</v>
      </c>
      <c r="I37" s="119">
        <v>14400</v>
      </c>
      <c r="J37" s="118"/>
      <c r="K37" s="115">
        <v>100</v>
      </c>
      <c r="L37" s="120">
        <v>0</v>
      </c>
      <c r="M37" s="120">
        <v>100</v>
      </c>
      <c r="N37" s="120">
        <v>0</v>
      </c>
      <c r="O37" s="121">
        <v>1600000</v>
      </c>
      <c r="P37" s="121">
        <v>0</v>
      </c>
      <c r="Q37" s="121">
        <v>1600000</v>
      </c>
      <c r="R37" s="121">
        <v>0</v>
      </c>
      <c r="S37" s="107"/>
    </row>
    <row r="38" spans="1:19" ht="18.75" x14ac:dyDescent="0.3">
      <c r="A38" s="115">
        <v>36</v>
      </c>
      <c r="B38" s="118" t="s">
        <v>494</v>
      </c>
      <c r="C38" s="122" t="s">
        <v>694</v>
      </c>
      <c r="D38" s="118"/>
      <c r="E38" s="119" t="s">
        <v>18</v>
      </c>
      <c r="F38" s="119">
        <v>18000</v>
      </c>
      <c r="G38" s="119">
        <v>16000</v>
      </c>
      <c r="H38" s="119">
        <v>1600</v>
      </c>
      <c r="I38" s="119">
        <v>14400</v>
      </c>
      <c r="J38" s="118"/>
      <c r="K38" s="115">
        <v>100</v>
      </c>
      <c r="L38" s="123">
        <v>58</v>
      </c>
      <c r="M38" s="120">
        <v>32</v>
      </c>
      <c r="N38" s="120">
        <v>10</v>
      </c>
      <c r="O38" s="121">
        <v>1716000</v>
      </c>
      <c r="P38" s="121">
        <v>1044000</v>
      </c>
      <c r="Q38" s="121">
        <v>512000</v>
      </c>
      <c r="R38" s="121"/>
      <c r="S38" s="107" t="s">
        <v>786</v>
      </c>
    </row>
    <row r="39" spans="1:19" ht="18.75" x14ac:dyDescent="0.3">
      <c r="A39" s="115">
        <v>37</v>
      </c>
      <c r="B39" s="118" t="s">
        <v>499</v>
      </c>
      <c r="C39" s="122" t="s">
        <v>696</v>
      </c>
      <c r="D39" s="118"/>
      <c r="E39" s="119" t="s">
        <v>18</v>
      </c>
      <c r="F39" s="119" t="s">
        <v>729</v>
      </c>
      <c r="G39" s="119">
        <v>16000</v>
      </c>
      <c r="H39" s="119">
        <v>1600</v>
      </c>
      <c r="I39" s="119">
        <v>14400</v>
      </c>
      <c r="J39" s="118"/>
      <c r="K39" s="115">
        <v>100</v>
      </c>
      <c r="L39" s="120">
        <v>0</v>
      </c>
      <c r="M39" s="120">
        <v>100</v>
      </c>
      <c r="N39" s="120">
        <v>0</v>
      </c>
      <c r="O39" s="121">
        <v>1600000</v>
      </c>
      <c r="P39" s="121">
        <v>0</v>
      </c>
      <c r="Q39" s="121">
        <v>1600000</v>
      </c>
      <c r="R39" s="121">
        <v>0</v>
      </c>
      <c r="S39" s="107"/>
    </row>
    <row r="40" spans="1:19" ht="18.75" x14ac:dyDescent="0.3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</row>
    <row r="41" spans="1:19" ht="18.75" x14ac:dyDescent="0.3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5">
        <f>SUM(R3:R39)</f>
        <v>992000</v>
      </c>
      <c r="S41" s="124"/>
    </row>
  </sheetData>
  <pageMargins left="0.7" right="0.7" top="0.75" bottom="0.75" header="0.3" footer="0.3"/>
  <pageSetup scale="7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For Bank</vt:lpstr>
      <vt:lpstr>Master File</vt:lpstr>
      <vt:lpstr>Sheet1</vt:lpstr>
      <vt:lpstr>Sheet3</vt:lpstr>
      <vt:lpstr>'Master File'!Print_Area</vt:lpstr>
      <vt:lpstr>'For Bank'!Print_Titles</vt:lpstr>
      <vt:lpstr>'Master File'!Print_Titles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2026-09-07T13:20:52Z</dcterms:modified>
</cp:coreProperties>
</file>